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34CFCBF-3D08-4F8E-A796-F306DB832BAE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GiaCuoc_Master" sheetId="1" r:id="rId1"/>
    <sheet name="NhatKy_GiaoHang" sheetId="2" r:id="rId2"/>
    <sheet name="BaoCao_KP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E9" i="3" s="1"/>
  <c r="C9" i="3"/>
  <c r="D8" i="3"/>
  <c r="E8" i="3" s="1"/>
  <c r="C8" i="3"/>
  <c r="D7" i="3"/>
  <c r="E7" i="3" s="1"/>
  <c r="C7" i="3"/>
  <c r="D6" i="3"/>
  <c r="E6" i="3" s="1"/>
  <c r="C6" i="3"/>
  <c r="D5" i="3"/>
  <c r="E5" i="3" s="1"/>
  <c r="C5" i="3"/>
  <c r="D4" i="3"/>
  <c r="E4" i="3" s="1"/>
  <c r="C4" i="3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<sst xmlns="http://schemas.openxmlformats.org/spreadsheetml/2006/main" count="1539" uniqueCount="528">
  <si>
    <t>Ma_KhuVuc</t>
  </si>
  <si>
    <t>Tuyen_Giao</t>
  </si>
  <si>
    <t>Don_Gia_Cuoc</t>
  </si>
  <si>
    <t>MB01</t>
  </si>
  <si>
    <t>Hà Nội - Nội thành</t>
  </si>
  <si>
    <t>MB02</t>
  </si>
  <si>
    <t>Hà Nội - Ngoại thành</t>
  </si>
  <si>
    <t>MN01</t>
  </si>
  <si>
    <t>TP.HCM - Nội thành</t>
  </si>
  <si>
    <t>MN02</t>
  </si>
  <si>
    <t>TP.HCM - Ngoại thành</t>
  </si>
  <si>
    <t>LC01</t>
  </si>
  <si>
    <t>Liên tỉnh Cùng vùng</t>
  </si>
  <si>
    <t>LB01</t>
  </si>
  <si>
    <t>Liên tỉnh Bắc - Nam</t>
  </si>
  <si>
    <t>Ma_Van_Don</t>
  </si>
  <si>
    <t>Trong_Luong_kg</t>
  </si>
  <si>
    <t>Gia_Cuoc_Giao</t>
  </si>
  <si>
    <t>Thoi_Gian_Giao_Phut</t>
  </si>
  <si>
    <t>Trang_Thai_KPI</t>
  </si>
  <si>
    <t>FM-2026-001</t>
  </si>
  <si>
    <t>Đúng giờ</t>
  </si>
  <si>
    <t>FM-2026-002</t>
  </si>
  <si>
    <t>FM-2026-003</t>
  </si>
  <si>
    <t>Trễ</t>
  </si>
  <si>
    <t>FM-2026-004</t>
  </si>
  <si>
    <t>FM-2026-005</t>
  </si>
  <si>
    <t>FM-2026-006</t>
  </si>
  <si>
    <t>FM-2026-007</t>
  </si>
  <si>
    <t>FM-2026-008</t>
  </si>
  <si>
    <t>FM-2026-009</t>
  </si>
  <si>
    <t>FM-2026-010</t>
  </si>
  <si>
    <t>FM-2026-011</t>
  </si>
  <si>
    <t>FM-2026-012</t>
  </si>
  <si>
    <t>FM-2026-013</t>
  </si>
  <si>
    <t>FM-2026-014</t>
  </si>
  <si>
    <t>FM-2026-015</t>
  </si>
  <si>
    <t>FM-2026-016</t>
  </si>
  <si>
    <t>FM-2026-017</t>
  </si>
  <si>
    <t>FM-2026-018</t>
  </si>
  <si>
    <t>FM-2026-019</t>
  </si>
  <si>
    <t>FM-2026-020</t>
  </si>
  <si>
    <t>FM-2026-021</t>
  </si>
  <si>
    <t>FM-2026-022</t>
  </si>
  <si>
    <t>FM-2026-023</t>
  </si>
  <si>
    <t>FM-2026-024</t>
  </si>
  <si>
    <t>FM-2026-025</t>
  </si>
  <si>
    <t>FM-2026-026</t>
  </si>
  <si>
    <t>FM-2026-027</t>
  </si>
  <si>
    <t>FM-2026-028</t>
  </si>
  <si>
    <t>FM-2026-029</t>
  </si>
  <si>
    <t>FM-2026-030</t>
  </si>
  <si>
    <t>FM-2026-031</t>
  </si>
  <si>
    <t>FM-2026-032</t>
  </si>
  <si>
    <t>FM-2026-033</t>
  </si>
  <si>
    <t>FM-2026-034</t>
  </si>
  <si>
    <t>FM-2026-035</t>
  </si>
  <si>
    <t>FM-2026-036</t>
  </si>
  <si>
    <t>FM-2026-037</t>
  </si>
  <si>
    <t>FM-2026-038</t>
  </si>
  <si>
    <t>FM-2026-039</t>
  </si>
  <si>
    <t>FM-2026-040</t>
  </si>
  <si>
    <t>FM-2026-041</t>
  </si>
  <si>
    <t>FM-2026-042</t>
  </si>
  <si>
    <t>FM-2026-043</t>
  </si>
  <si>
    <t>FM-2026-044</t>
  </si>
  <si>
    <t>FM-2026-045</t>
  </si>
  <si>
    <t>FM-2026-046</t>
  </si>
  <si>
    <t>FM-2026-047</t>
  </si>
  <si>
    <t>FM-2026-048</t>
  </si>
  <si>
    <t>FM-2026-049</t>
  </si>
  <si>
    <t>FM-2026-050</t>
  </si>
  <si>
    <t>MB99</t>
  </si>
  <si>
    <t>FM-2026-051</t>
  </si>
  <si>
    <t>FM-2026-052</t>
  </si>
  <si>
    <t>FM-2026-053</t>
  </si>
  <si>
    <t>FM-2026-054</t>
  </si>
  <si>
    <t>FM-2026-055</t>
  </si>
  <si>
    <t>FM-2026-056</t>
  </si>
  <si>
    <t>FM-2026-057</t>
  </si>
  <si>
    <t>FM-2026-058</t>
  </si>
  <si>
    <t>FM-2026-059</t>
  </si>
  <si>
    <t>FM-2026-060</t>
  </si>
  <si>
    <t>FM-2026-061</t>
  </si>
  <si>
    <t>FM-2026-062</t>
  </si>
  <si>
    <t>FM-2026-063</t>
  </si>
  <si>
    <t>FM-2026-064</t>
  </si>
  <si>
    <t>FM-2026-065</t>
  </si>
  <si>
    <t>FM-2026-066</t>
  </si>
  <si>
    <t>FM-2026-067</t>
  </si>
  <si>
    <t>FM-2026-068</t>
  </si>
  <si>
    <t>FM-2026-069</t>
  </si>
  <si>
    <t>FM-2026-070</t>
  </si>
  <si>
    <t>FM-2026-071</t>
  </si>
  <si>
    <t>FM-2026-072</t>
  </si>
  <si>
    <t>FM-2026-073</t>
  </si>
  <si>
    <t>FM-2026-074</t>
  </si>
  <si>
    <t>FM-2026-075</t>
  </si>
  <si>
    <t>FM-2026-076</t>
  </si>
  <si>
    <t>FM-2026-077</t>
  </si>
  <si>
    <t>FM-2026-078</t>
  </si>
  <si>
    <t>FM-2026-079</t>
  </si>
  <si>
    <t>FM-2026-080</t>
  </si>
  <si>
    <t>FM-2026-081</t>
  </si>
  <si>
    <t>FM-2026-082</t>
  </si>
  <si>
    <t>FM-2026-083</t>
  </si>
  <si>
    <t>FM-2026-084</t>
  </si>
  <si>
    <t>FM-2026-085</t>
  </si>
  <si>
    <t>FM-2026-086</t>
  </si>
  <si>
    <t>FM-2026-087</t>
  </si>
  <si>
    <t>FM-2026-088</t>
  </si>
  <si>
    <t>FM-2026-089</t>
  </si>
  <si>
    <t>FM-2026-090</t>
  </si>
  <si>
    <t>FM-2026-091</t>
  </si>
  <si>
    <t>FM-2026-092</t>
  </si>
  <si>
    <t>FM-2026-093</t>
  </si>
  <si>
    <t>FM-2026-094</t>
  </si>
  <si>
    <t>FM-2026-095</t>
  </si>
  <si>
    <t>FM-2026-096</t>
  </si>
  <si>
    <t>FM-2026-097</t>
  </si>
  <si>
    <t>FM-2026-098</t>
  </si>
  <si>
    <t>FM-2026-099</t>
  </si>
  <si>
    <t>FM-2026-100</t>
  </si>
  <si>
    <t xml:space="preserve">MB01 </t>
  </si>
  <si>
    <t>FM-2026-101</t>
  </si>
  <si>
    <t>FM-2026-102</t>
  </si>
  <si>
    <t>FM-2026-103</t>
  </si>
  <si>
    <t>FM-2026-104</t>
  </si>
  <si>
    <t>FM-2026-105</t>
  </si>
  <si>
    <t>FM-2026-106</t>
  </si>
  <si>
    <t>FM-2026-107</t>
  </si>
  <si>
    <t>FM-2026-108</t>
  </si>
  <si>
    <t>FM-2026-109</t>
  </si>
  <si>
    <t>FM-2026-110</t>
  </si>
  <si>
    <t>FM-2026-111</t>
  </si>
  <si>
    <t>FM-2026-112</t>
  </si>
  <si>
    <t>FM-2026-113</t>
  </si>
  <si>
    <t>FM-2026-114</t>
  </si>
  <si>
    <t>FM-2026-115</t>
  </si>
  <si>
    <t>FM-2026-116</t>
  </si>
  <si>
    <t>FM-2026-117</t>
  </si>
  <si>
    <t>FM-2026-118</t>
  </si>
  <si>
    <t>FM-2026-119</t>
  </si>
  <si>
    <t>FM-2026-120</t>
  </si>
  <si>
    <t>FM-2026-121</t>
  </si>
  <si>
    <t>FM-2026-122</t>
  </si>
  <si>
    <t>FM-2026-123</t>
  </si>
  <si>
    <t>FM-2026-124</t>
  </si>
  <si>
    <t>FM-2026-125</t>
  </si>
  <si>
    <t>FM-2026-126</t>
  </si>
  <si>
    <t>FM-2026-127</t>
  </si>
  <si>
    <t>FM-2026-128</t>
  </si>
  <si>
    <t>FM-2026-129</t>
  </si>
  <si>
    <t>FM-2026-130</t>
  </si>
  <si>
    <t>FM-2026-131</t>
  </si>
  <si>
    <t>FM-2026-132</t>
  </si>
  <si>
    <t>FM-2026-133</t>
  </si>
  <si>
    <t>FM-2026-134</t>
  </si>
  <si>
    <t>FM-2026-135</t>
  </si>
  <si>
    <t>FM-2026-136</t>
  </si>
  <si>
    <t>FM-2026-137</t>
  </si>
  <si>
    <t>FM-2026-138</t>
  </si>
  <si>
    <t>FM-2026-139</t>
  </si>
  <si>
    <t>FM-2026-140</t>
  </si>
  <si>
    <t>FM-2026-141</t>
  </si>
  <si>
    <t>FM-2026-142</t>
  </si>
  <si>
    <t>FM-2026-143</t>
  </si>
  <si>
    <t>FM-2026-144</t>
  </si>
  <si>
    <t>FM-2026-145</t>
  </si>
  <si>
    <t>FM-2026-146</t>
  </si>
  <si>
    <t>FM-2026-147</t>
  </si>
  <si>
    <t>FM-2026-148</t>
  </si>
  <si>
    <t>FM-2026-149</t>
  </si>
  <si>
    <t>FM-2026-150</t>
  </si>
  <si>
    <t>FM-2026-151</t>
  </si>
  <si>
    <t>FM-2026-152</t>
  </si>
  <si>
    <t>FM-2026-153</t>
  </si>
  <si>
    <t>FM-2026-154</t>
  </si>
  <si>
    <t>FM-2026-155</t>
  </si>
  <si>
    <t>FM-2026-156</t>
  </si>
  <si>
    <t>FM-2026-157</t>
  </si>
  <si>
    <t>FM-2026-158</t>
  </si>
  <si>
    <t>FM-2026-159</t>
  </si>
  <si>
    <t>FM-2026-160</t>
  </si>
  <si>
    <t>FM-2026-161</t>
  </si>
  <si>
    <t>FM-2026-162</t>
  </si>
  <si>
    <t>FM-2026-163</t>
  </si>
  <si>
    <t>FM-2026-164</t>
  </si>
  <si>
    <t>FM-2026-165</t>
  </si>
  <si>
    <t>FM-2026-166</t>
  </si>
  <si>
    <t>FM-2026-167</t>
  </si>
  <si>
    <t>FM-2026-168</t>
  </si>
  <si>
    <t>FM-2026-169</t>
  </si>
  <si>
    <t>FM-2026-170</t>
  </si>
  <si>
    <t>FM-2026-171</t>
  </si>
  <si>
    <t>FM-2026-172</t>
  </si>
  <si>
    <t>FM-2026-173</t>
  </si>
  <si>
    <t>FM-2026-174</t>
  </si>
  <si>
    <t>FM-2026-175</t>
  </si>
  <si>
    <t>FM-2026-176</t>
  </si>
  <si>
    <t>FM-2026-177</t>
  </si>
  <si>
    <t>FM-2026-178</t>
  </si>
  <si>
    <t>FM-2026-179</t>
  </si>
  <si>
    <t>FM-2026-180</t>
  </si>
  <si>
    <t>FM-2026-181</t>
  </si>
  <si>
    <t>FM-2026-182</t>
  </si>
  <si>
    <t>FM-2026-183</t>
  </si>
  <si>
    <t>FM-2026-184</t>
  </si>
  <si>
    <t>FM-2026-185</t>
  </si>
  <si>
    <t>FM-2026-186</t>
  </si>
  <si>
    <t>FM-2026-187</t>
  </si>
  <si>
    <t>FM-2026-188</t>
  </si>
  <si>
    <t>FM-2026-189</t>
  </si>
  <si>
    <t>FM-2026-190</t>
  </si>
  <si>
    <t>FM-2026-191</t>
  </si>
  <si>
    <t>FM-2026-192</t>
  </si>
  <si>
    <t>FM-2026-193</t>
  </si>
  <si>
    <t>FM-2026-194</t>
  </si>
  <si>
    <t>FM-2026-195</t>
  </si>
  <si>
    <t>FM-2026-196</t>
  </si>
  <si>
    <t>FM-2026-197</t>
  </si>
  <si>
    <t>FM-2026-198</t>
  </si>
  <si>
    <t>FM-2026-199</t>
  </si>
  <si>
    <t>FM-2026-200</t>
  </si>
  <si>
    <t>FM-2026-201</t>
  </si>
  <si>
    <t>FM-2026-202</t>
  </si>
  <si>
    <t>FM-2026-203</t>
  </si>
  <si>
    <t>FM-2026-204</t>
  </si>
  <si>
    <t>FM-2026-205</t>
  </si>
  <si>
    <t>FM-2026-206</t>
  </si>
  <si>
    <t>FM-2026-207</t>
  </si>
  <si>
    <t>FM-2026-208</t>
  </si>
  <si>
    <t>FM-2026-209</t>
  </si>
  <si>
    <t>FM-2026-210</t>
  </si>
  <si>
    <t>FM-2026-211</t>
  </si>
  <si>
    <t>FM-2026-212</t>
  </si>
  <si>
    <t>FM-2026-213</t>
  </si>
  <si>
    <t>FM-2026-214</t>
  </si>
  <si>
    <t>FM-2026-215</t>
  </si>
  <si>
    <t>FM-2026-216</t>
  </si>
  <si>
    <t>FM-2026-217</t>
  </si>
  <si>
    <t>FM-2026-218</t>
  </si>
  <si>
    <t>FM-2026-219</t>
  </si>
  <si>
    <t>FM-2026-220</t>
  </si>
  <si>
    <t>FM-2026-221</t>
  </si>
  <si>
    <t>FM-2026-222</t>
  </si>
  <si>
    <t>FM-2026-223</t>
  </si>
  <si>
    <t>FM-2026-224</t>
  </si>
  <si>
    <t>FM-2026-225</t>
  </si>
  <si>
    <t>FM-2026-226</t>
  </si>
  <si>
    <t>FM-2026-227</t>
  </si>
  <si>
    <t>FM-2026-228</t>
  </si>
  <si>
    <t>FM-2026-229</t>
  </si>
  <si>
    <t>FM-2026-230</t>
  </si>
  <si>
    <t>FM-2026-231</t>
  </si>
  <si>
    <t>FM-2026-232</t>
  </si>
  <si>
    <t>FM-2026-233</t>
  </si>
  <si>
    <t>FM-2026-234</t>
  </si>
  <si>
    <t>FM-2026-235</t>
  </si>
  <si>
    <t>FM-2026-236</t>
  </si>
  <si>
    <t>FM-2026-237</t>
  </si>
  <si>
    <t>FM-2026-238</t>
  </si>
  <si>
    <t>FM-2026-239</t>
  </si>
  <si>
    <t>FM-2026-240</t>
  </si>
  <si>
    <t>FM-2026-241</t>
  </si>
  <si>
    <t>FM-2026-242</t>
  </si>
  <si>
    <t>FM-2026-243</t>
  </si>
  <si>
    <t>FM-2026-244</t>
  </si>
  <si>
    <t>FM-2026-245</t>
  </si>
  <si>
    <t>FM-2026-246</t>
  </si>
  <si>
    <t>FM-2026-247</t>
  </si>
  <si>
    <t>FM-2026-248</t>
  </si>
  <si>
    <t>FM-2026-249</t>
  </si>
  <si>
    <t>FM-2026-250</t>
  </si>
  <si>
    <t>FM-2026-251</t>
  </si>
  <si>
    <t>FM-2026-252</t>
  </si>
  <si>
    <t>FM-2026-253</t>
  </si>
  <si>
    <t>FM-2026-254</t>
  </si>
  <si>
    <t>FM-2026-255</t>
  </si>
  <si>
    <t>FM-2026-256</t>
  </si>
  <si>
    <t>FM-2026-257</t>
  </si>
  <si>
    <t>FM-2026-258</t>
  </si>
  <si>
    <t>FM-2026-259</t>
  </si>
  <si>
    <t>FM-2026-260</t>
  </si>
  <si>
    <t>FM-2026-261</t>
  </si>
  <si>
    <t>FM-2026-262</t>
  </si>
  <si>
    <t>FM-2026-263</t>
  </si>
  <si>
    <t>FM-2026-264</t>
  </si>
  <si>
    <t>FM-2026-265</t>
  </si>
  <si>
    <t>FM-2026-266</t>
  </si>
  <si>
    <t>FM-2026-267</t>
  </si>
  <si>
    <t>FM-2026-268</t>
  </si>
  <si>
    <t>FM-2026-269</t>
  </si>
  <si>
    <t>FM-2026-270</t>
  </si>
  <si>
    <t>FM-2026-271</t>
  </si>
  <si>
    <t>FM-2026-272</t>
  </si>
  <si>
    <t>FM-2026-273</t>
  </si>
  <si>
    <t>FM-2026-274</t>
  </si>
  <si>
    <t>FM-2026-275</t>
  </si>
  <si>
    <t>FM-2026-276</t>
  </si>
  <si>
    <t>FM-2026-277</t>
  </si>
  <si>
    <t>FM-2026-278</t>
  </si>
  <si>
    <t>FM-2026-279</t>
  </si>
  <si>
    <t>FM-2026-280</t>
  </si>
  <si>
    <t>FM-2026-281</t>
  </si>
  <si>
    <t>FM-2026-282</t>
  </si>
  <si>
    <t>FM-2026-283</t>
  </si>
  <si>
    <t>FM-2026-284</t>
  </si>
  <si>
    <t>FM-2026-285</t>
  </si>
  <si>
    <t>FM-2026-286</t>
  </si>
  <si>
    <t>FM-2026-287</t>
  </si>
  <si>
    <t>FM-2026-288</t>
  </si>
  <si>
    <t>FM-2026-289</t>
  </si>
  <si>
    <t>FM-2026-290</t>
  </si>
  <si>
    <t>FM-2026-291</t>
  </si>
  <si>
    <t>FM-2026-292</t>
  </si>
  <si>
    <t>FM-2026-293</t>
  </si>
  <si>
    <t>FM-2026-294</t>
  </si>
  <si>
    <t>FM-2026-295</t>
  </si>
  <si>
    <t>FM-2026-296</t>
  </si>
  <si>
    <t>FM-2026-297</t>
  </si>
  <si>
    <t>FM-2026-298</t>
  </si>
  <si>
    <t>FM-2026-299</t>
  </si>
  <si>
    <t>FM-2026-300</t>
  </si>
  <si>
    <t>FM-2026-301</t>
  </si>
  <si>
    <t>FM-2026-302</t>
  </si>
  <si>
    <t>FM-2026-303</t>
  </si>
  <si>
    <t>FM-2026-304</t>
  </si>
  <si>
    <t>FM-2026-305</t>
  </si>
  <si>
    <t>FM-2026-306</t>
  </si>
  <si>
    <t>FM-2026-307</t>
  </si>
  <si>
    <t>FM-2026-308</t>
  </si>
  <si>
    <t>FM-2026-309</t>
  </si>
  <si>
    <t>FM-2026-310</t>
  </si>
  <si>
    <t>FM-2026-311</t>
  </si>
  <si>
    <t>FM-2026-312</t>
  </si>
  <si>
    <t>FM-2026-313</t>
  </si>
  <si>
    <t>FM-2026-314</t>
  </si>
  <si>
    <t>FM-2026-315</t>
  </si>
  <si>
    <t>FM-2026-316</t>
  </si>
  <si>
    <t>FM-2026-317</t>
  </si>
  <si>
    <t>FM-2026-318</t>
  </si>
  <si>
    <t>FM-2026-319</t>
  </si>
  <si>
    <t>FM-2026-320</t>
  </si>
  <si>
    <t>FM-2026-321</t>
  </si>
  <si>
    <t>FM-2026-322</t>
  </si>
  <si>
    <t>FM-2026-323</t>
  </si>
  <si>
    <t>FM-2026-324</t>
  </si>
  <si>
    <t>FM-2026-325</t>
  </si>
  <si>
    <t>FM-2026-326</t>
  </si>
  <si>
    <t>FM-2026-327</t>
  </si>
  <si>
    <t>FM-2026-328</t>
  </si>
  <si>
    <t>FM-2026-329</t>
  </si>
  <si>
    <t>FM-2026-330</t>
  </si>
  <si>
    <t>FM-2026-331</t>
  </si>
  <si>
    <t>FM-2026-332</t>
  </si>
  <si>
    <t>FM-2026-333</t>
  </si>
  <si>
    <t>FM-2026-334</t>
  </si>
  <si>
    <t>FM-2026-335</t>
  </si>
  <si>
    <t>FM-2026-336</t>
  </si>
  <si>
    <t>FM-2026-337</t>
  </si>
  <si>
    <t>FM-2026-338</t>
  </si>
  <si>
    <t>FM-2026-339</t>
  </si>
  <si>
    <t>FM-2026-340</t>
  </si>
  <si>
    <t>FM-2026-341</t>
  </si>
  <si>
    <t>FM-2026-342</t>
  </si>
  <si>
    <t>FM-2026-343</t>
  </si>
  <si>
    <t>FM-2026-344</t>
  </si>
  <si>
    <t>FM-2026-345</t>
  </si>
  <si>
    <t>FM-2026-346</t>
  </si>
  <si>
    <t>FM-2026-347</t>
  </si>
  <si>
    <t>FM-2026-348</t>
  </si>
  <si>
    <t>FM-2026-349</t>
  </si>
  <si>
    <t>FM-2026-350</t>
  </si>
  <si>
    <t>FM-2026-351</t>
  </si>
  <si>
    <t>FM-2026-352</t>
  </si>
  <si>
    <t>FM-2026-353</t>
  </si>
  <si>
    <t>FM-2026-354</t>
  </si>
  <si>
    <t>FM-2026-355</t>
  </si>
  <si>
    <t>FM-2026-356</t>
  </si>
  <si>
    <t>FM-2026-357</t>
  </si>
  <si>
    <t>FM-2026-358</t>
  </si>
  <si>
    <t>FM-2026-359</t>
  </si>
  <si>
    <t>FM-2026-360</t>
  </si>
  <si>
    <t>FM-2026-361</t>
  </si>
  <si>
    <t>FM-2026-362</t>
  </si>
  <si>
    <t>FM-2026-363</t>
  </si>
  <si>
    <t>FM-2026-364</t>
  </si>
  <si>
    <t>FM-2026-365</t>
  </si>
  <si>
    <t>FM-2026-366</t>
  </si>
  <si>
    <t>FM-2026-367</t>
  </si>
  <si>
    <t>FM-2026-368</t>
  </si>
  <si>
    <t>FM-2026-369</t>
  </si>
  <si>
    <t>FM-2026-370</t>
  </si>
  <si>
    <t>FM-2026-371</t>
  </si>
  <si>
    <t>FM-2026-372</t>
  </si>
  <si>
    <t>FM-2026-373</t>
  </si>
  <si>
    <t>FM-2026-374</t>
  </si>
  <si>
    <t>FM-2026-375</t>
  </si>
  <si>
    <t>FM-2026-376</t>
  </si>
  <si>
    <t>FM-2026-377</t>
  </si>
  <si>
    <t>FM-2026-378</t>
  </si>
  <si>
    <t>FM-2026-379</t>
  </si>
  <si>
    <t>FM-2026-380</t>
  </si>
  <si>
    <t>FM-2026-381</t>
  </si>
  <si>
    <t>FM-2026-382</t>
  </si>
  <si>
    <t>FM-2026-383</t>
  </si>
  <si>
    <t>FM-2026-384</t>
  </si>
  <si>
    <t>FM-2026-385</t>
  </si>
  <si>
    <t>FM-2026-386</t>
  </si>
  <si>
    <t>FM-2026-387</t>
  </si>
  <si>
    <t>FM-2026-388</t>
  </si>
  <si>
    <t>FM-2026-389</t>
  </si>
  <si>
    <t>FM-2026-390</t>
  </si>
  <si>
    <t>FM-2026-391</t>
  </si>
  <si>
    <t>FM-2026-392</t>
  </si>
  <si>
    <t>FM-2026-393</t>
  </si>
  <si>
    <t>FM-2026-394</t>
  </si>
  <si>
    <t>FM-2026-395</t>
  </si>
  <si>
    <t>FM-2026-396</t>
  </si>
  <si>
    <t>FM-2026-397</t>
  </si>
  <si>
    <t>FM-2026-398</t>
  </si>
  <si>
    <t>FM-2026-399</t>
  </si>
  <si>
    <t>FM-2026-400</t>
  </si>
  <si>
    <t>FM-2026-401</t>
  </si>
  <si>
    <t>FM-2026-402</t>
  </si>
  <si>
    <t>FM-2026-403</t>
  </si>
  <si>
    <t>FM-2026-404</t>
  </si>
  <si>
    <t>FM-2026-405</t>
  </si>
  <si>
    <t>FM-2026-406</t>
  </si>
  <si>
    <t>FM-2026-407</t>
  </si>
  <si>
    <t>FM-2026-408</t>
  </si>
  <si>
    <t>FM-2026-409</t>
  </si>
  <si>
    <t>FM-2026-410</t>
  </si>
  <si>
    <t>FM-2026-411</t>
  </si>
  <si>
    <t>FM-2026-412</t>
  </si>
  <si>
    <t>FM-2026-413</t>
  </si>
  <si>
    <t>FM-2026-414</t>
  </si>
  <si>
    <t>FM-2026-415</t>
  </si>
  <si>
    <t>FM-2026-416</t>
  </si>
  <si>
    <t>FM-2026-417</t>
  </si>
  <si>
    <t>FM-2026-418</t>
  </si>
  <si>
    <t>FM-2026-419</t>
  </si>
  <si>
    <t>FM-2026-420</t>
  </si>
  <si>
    <t>FM-2026-421</t>
  </si>
  <si>
    <t>FM-2026-422</t>
  </si>
  <si>
    <t>FM-2026-423</t>
  </si>
  <si>
    <t>FM-2026-424</t>
  </si>
  <si>
    <t>FM-2026-425</t>
  </si>
  <si>
    <t>FM-2026-426</t>
  </si>
  <si>
    <t>FM-2026-427</t>
  </si>
  <si>
    <t>FM-2026-428</t>
  </si>
  <si>
    <t>FM-2026-429</t>
  </si>
  <si>
    <t>FM-2026-430</t>
  </si>
  <si>
    <t>FM-2026-431</t>
  </si>
  <si>
    <t>FM-2026-432</t>
  </si>
  <si>
    <t>FM-2026-433</t>
  </si>
  <si>
    <t>FM-2026-434</t>
  </si>
  <si>
    <t>FM-2026-435</t>
  </si>
  <si>
    <t>FM-2026-436</t>
  </si>
  <si>
    <t>FM-2026-437</t>
  </si>
  <si>
    <t>FM-2026-438</t>
  </si>
  <si>
    <t>FM-2026-439</t>
  </si>
  <si>
    <t>FM-2026-440</t>
  </si>
  <si>
    <t>FM-2026-441</t>
  </si>
  <si>
    <t>FM-2026-442</t>
  </si>
  <si>
    <t>FM-2026-443</t>
  </si>
  <si>
    <t>FM-2026-444</t>
  </si>
  <si>
    <t>FM-2026-445</t>
  </si>
  <si>
    <t>FM-2026-446</t>
  </si>
  <si>
    <t>FM-2026-447</t>
  </si>
  <si>
    <t>FM-2026-448</t>
  </si>
  <si>
    <t>FM-2026-449</t>
  </si>
  <si>
    <t>FM-2026-450</t>
  </si>
  <si>
    <t>FM-2026-451</t>
  </si>
  <si>
    <t>FM-2026-452</t>
  </si>
  <si>
    <t>FM-2026-453</t>
  </si>
  <si>
    <t>FM-2026-454</t>
  </si>
  <si>
    <t>FM-2026-455</t>
  </si>
  <si>
    <t>FM-2026-456</t>
  </si>
  <si>
    <t>FM-2026-457</t>
  </si>
  <si>
    <t>FM-2026-458</t>
  </si>
  <si>
    <t>FM-2026-459</t>
  </si>
  <si>
    <t>FM-2026-460</t>
  </si>
  <si>
    <t>FM-2026-461</t>
  </si>
  <si>
    <t>FM-2026-462</t>
  </si>
  <si>
    <t>FM-2026-463</t>
  </si>
  <si>
    <t>FM-2026-464</t>
  </si>
  <si>
    <t>FM-2026-465</t>
  </si>
  <si>
    <t>FM-2026-466</t>
  </si>
  <si>
    <t>FM-2026-467</t>
  </si>
  <si>
    <t>FM-2026-468</t>
  </si>
  <si>
    <t>FM-2026-469</t>
  </si>
  <si>
    <t>FM-2026-470</t>
  </si>
  <si>
    <t>FM-2026-471</t>
  </si>
  <si>
    <t>FM-2026-472</t>
  </si>
  <si>
    <t>FM-2026-473</t>
  </si>
  <si>
    <t>FM-2026-474</t>
  </si>
  <si>
    <t>FM-2026-475</t>
  </si>
  <si>
    <t>FM-2026-476</t>
  </si>
  <si>
    <t>FM-2026-477</t>
  </si>
  <si>
    <t>FM-2026-478</t>
  </si>
  <si>
    <t>FM-2026-479</t>
  </si>
  <si>
    <t>FM-2026-480</t>
  </si>
  <si>
    <t>FM-2026-481</t>
  </si>
  <si>
    <t>FM-2026-482</t>
  </si>
  <si>
    <t>FM-2026-483</t>
  </si>
  <si>
    <t>FM-2026-484</t>
  </si>
  <si>
    <t>FM-2026-485</t>
  </si>
  <si>
    <t>FM-2026-486</t>
  </si>
  <si>
    <t>FM-2026-487</t>
  </si>
  <si>
    <t>FM-2026-488</t>
  </si>
  <si>
    <t>FM-2026-489</t>
  </si>
  <si>
    <t>FM-2026-490</t>
  </si>
  <si>
    <t>FM-2026-491</t>
  </si>
  <si>
    <t>FM-2026-492</t>
  </si>
  <si>
    <t>FM-2026-493</t>
  </si>
  <si>
    <t>FM-2026-494</t>
  </si>
  <si>
    <t>FM-2026-495</t>
  </si>
  <si>
    <t>FM-2026-496</t>
  </si>
  <si>
    <t>FM-2026-497</t>
  </si>
  <si>
    <t>FM-2026-498</t>
  </si>
  <si>
    <t>FM-2026-499</t>
  </si>
  <si>
    <t>FM-2026-500</t>
  </si>
  <si>
    <t>BÁO CÁO HIỆU SUẤT GIAO HÀNG THEO TUYẾN (KPI)</t>
  </si>
  <si>
    <t>Tong_Don</t>
  </si>
  <si>
    <t>Don_Tre</t>
  </si>
  <si>
    <t>Ty_Le_Tre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</si>
</sst>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VNĐ&quot;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9FAFC"/>
        <bgColor rgb="FFF9FAFC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164" fontId="0" fillId="2" borderId="1" xfId="0" applyNumberForma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/>
    <xf numFmtId="3" fontId="0" fillId="0" borderId="1" xfId="0" applyNumberFormat="1" applyBorder="1"/>
    <xf numFmtId="165" fontId="0" fillId="0" borderId="1" xfId="0" applyNumberFormat="1" applyBorder="1"/>
    <xf numFmtId="0" fontId="2" fillId="0" borderId="0" xfId="0" applyFont="1" applyFill="1" applyAlignment="1">
      <alignment horizontal="center" vertical="center"/>
    </xf>
    <xf numFmtId="0" fontId="3" fillId="0" borderId="0" xfId="0" applyFont="1"/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Tỷ lệ giao hàng trễ theo tuyến</a:t>
            </a:r>
          </a:p>
          <a:p>
            <a:pPr>
              <a:defRPr/>
            </a:pPr>
            <a:r>
              <a:rPr lang="en-US"/>
              <a:t>Tuyến LB01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BaoCao_KPI!$E$3</c:f>
              <c:strCache>
                <c:ptCount val="1"/>
                <c:pt idx="0">
                  <c:v>Ty_Le_Tre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BaoCao_KPI!$B$4:$B$9</c:f>
              <c:strCache>
                <c:ptCount val="6"/>
                <c:pt idx="0">
                  <c:v>Hà Nội - Nội thành</c:v>
                </c:pt>
                <c:pt idx="1">
                  <c:v>Hà Nội - Ngoại thành</c:v>
                </c:pt>
                <c:pt idx="2">
                  <c:v>TP.HCM - Nội thành</c:v>
                </c:pt>
                <c:pt idx="3">
                  <c:v>TP.HCM - Ngoại thành</c:v>
                </c:pt>
                <c:pt idx="4">
                  <c:v>Liên tỉnh Cùng vùng</c:v>
                </c:pt>
                <c:pt idx="5">
                  <c:v>Liên tỉnh Bắc - Nam</c:v>
                </c:pt>
              </c:strCache>
            </c:strRef>
          </c:cat>
          <c:val>
            <c:numRef>
              <c:f>BaoCao_KPI!$E$4:$E$9</c:f>
              <c:numCache>
                <c:formatCode>0.0%</c:formatCode>
                <c:ptCount val="6"/>
                <c:pt idx="0">
                  <c:v>0.20987654320987653</c:v>
                </c:pt>
                <c:pt idx="1">
                  <c:v>0.32941176470588235</c:v>
                </c:pt>
                <c:pt idx="2">
                  <c:v>0.33750000000000002</c:v>
                </c:pt>
                <c:pt idx="3">
                  <c:v>0.33734939759036142</c:v>
                </c:pt>
                <c:pt idx="4">
                  <c:v>0.3125</c:v>
                </c:pt>
                <c:pt idx="5">
                  <c:v>0.3146067415730337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36-4F52-A0CE-85D6F8C1E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Tỷ lệ trễ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Tuyến giao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B14" sqref="B14"/>
    </sheetView>
  </sheetViews>
  <sheetFormatPr defaultRowHeight="14.5" x14ac:dyDescent="0.35"/>
  <cols>
    <col min="1" max="1" width="15" customWidth="1"/>
    <col min="2" max="2" width="28" customWidth="1"/>
    <col min="3" max="3" width="18" customWidth="1"/>
  </cols>
  <sheetData>
    <row r="1" spans="1:3" x14ac:dyDescent="0.35">
      <c r="A1" s="11" t="s">
        <v>0</v>
      </c>
      <c r="B1" s="11" t="s">
        <v>1</v>
      </c>
      <c r="C1" s="11" t="s">
        <v>2</v>
      </c>
    </row>
    <row r="2" spans="1:3" x14ac:dyDescent="0.35">
      <c r="A2" s="1" t="s">
        <v>3</v>
      </c>
      <c r="B2" s="2" t="s">
        <v>4</v>
      </c>
      <c r="C2" s="3">
        <v>22000</v>
      </c>
    </row>
    <row r="3" spans="1:3" x14ac:dyDescent="0.35">
      <c r="A3" s="1" t="s">
        <v>5</v>
      </c>
      <c r="B3" s="2" t="s">
        <v>6</v>
      </c>
      <c r="C3" s="3">
        <v>35000</v>
      </c>
    </row>
    <row r="4" spans="1:3" x14ac:dyDescent="0.35">
      <c r="A4" s="1" t="s">
        <v>7</v>
      </c>
      <c r="B4" s="2" t="s">
        <v>8</v>
      </c>
      <c r="C4" s="3">
        <v>25000</v>
      </c>
    </row>
    <row r="5" spans="1:3" x14ac:dyDescent="0.35">
      <c r="A5" s="1" t="s">
        <v>9</v>
      </c>
      <c r="B5" s="2" t="s">
        <v>10</v>
      </c>
      <c r="C5" s="3">
        <v>40000</v>
      </c>
    </row>
    <row r="6" spans="1:3" x14ac:dyDescent="0.35">
      <c r="A6" s="1" t="s">
        <v>11</v>
      </c>
      <c r="B6" s="2" t="s">
        <v>12</v>
      </c>
      <c r="C6" s="3">
        <v>55000</v>
      </c>
    </row>
    <row r="7" spans="1:3" x14ac:dyDescent="0.35">
      <c r="A7" s="1" t="s">
        <v>13</v>
      </c>
      <c r="B7" s="2" t="s">
        <v>14</v>
      </c>
      <c r="C7" s="3">
        <v>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workbookViewId="0">
      <selection activeCell="D51" sqref="D51"/>
    </sheetView>
  </sheetViews>
  <sheetFormatPr defaultRowHeight="14.5" x14ac:dyDescent="0.35"/>
  <cols>
    <col min="1" max="1" width="16" customWidth="1"/>
    <col min="2" max="2" width="15" customWidth="1"/>
    <col min="3" max="3" width="18" customWidth="1"/>
    <col min="4" max="5" width="22" customWidth="1"/>
    <col min="6" max="6" width="16" customWidth="1"/>
  </cols>
  <sheetData>
    <row r="1" spans="1:6" x14ac:dyDescent="0.35">
      <c r="A1" s="11" t="s">
        <v>15</v>
      </c>
      <c r="B1" s="11" t="s">
        <v>0</v>
      </c>
      <c r="C1" s="11" t="s">
        <v>16</v>
      </c>
      <c r="D1" s="11" t="s">
        <v>17</v>
      </c>
      <c r="E1" s="11" t="s">
        <v>18</v>
      </c>
      <c r="F1" s="11" t="s">
        <v>19</v>
      </c>
    </row>
    <row r="2" spans="1:6" x14ac:dyDescent="0.35">
      <c r="A2" s="4" t="s">
        <v>20</v>
      </c>
      <c r="B2" s="4" t="s">
        <v>13</v>
      </c>
      <c r="C2" s="5">
        <v>1</v>
      </c>
      <c r="D2" s="6">
        <f>IFERROR(VLOOKUP(TRIM(B2), GiaCuoc_Master!$A$2:$C$7, 3, FALSE), "Lỗi mã khu vực")</f>
        <v>75000</v>
      </c>
      <c r="E2" s="5">
        <v>28</v>
      </c>
      <c r="F2" s="4" t="s">
        <v>21</v>
      </c>
    </row>
    <row r="3" spans="1:6" x14ac:dyDescent="0.35">
      <c r="A3" s="1" t="s">
        <v>22</v>
      </c>
      <c r="B3" s="1" t="s">
        <v>13</v>
      </c>
      <c r="C3" s="7">
        <v>2.5</v>
      </c>
      <c r="D3" s="3">
        <f>IFERROR(VLOOKUP(TRIM(B3), GiaCuoc_Master!$A$2:$C$7, 3, FALSE), "Lỗi mã khu vực")</f>
        <v>75000</v>
      </c>
      <c r="E3" s="7">
        <v>56</v>
      </c>
      <c r="F3" s="1" t="s">
        <v>21</v>
      </c>
    </row>
    <row r="4" spans="1:6" x14ac:dyDescent="0.35">
      <c r="A4" s="4" t="s">
        <v>23</v>
      </c>
      <c r="B4" s="4" t="s">
        <v>5</v>
      </c>
      <c r="C4" s="5">
        <v>1.5</v>
      </c>
      <c r="D4" s="6">
        <f>IFERROR(VLOOKUP(TRIM(B4), GiaCuoc_Master!$A$2:$C$7, 3, FALSE), "Lỗi mã khu vực")</f>
        <v>35000</v>
      </c>
      <c r="E4" s="5">
        <v>119</v>
      </c>
      <c r="F4" s="4" t="s">
        <v>24</v>
      </c>
    </row>
    <row r="5" spans="1:6" x14ac:dyDescent="0.35">
      <c r="A5" s="1" t="s">
        <v>25</v>
      </c>
      <c r="B5" s="1" t="s">
        <v>3</v>
      </c>
      <c r="C5" s="7">
        <v>7.5</v>
      </c>
      <c r="D5" s="3">
        <f>IFERROR(VLOOKUP(TRIM(B5), GiaCuoc_Master!$A$2:$C$7, 3, FALSE), "Lỗi mã khu vực")</f>
        <v>22000</v>
      </c>
      <c r="E5" s="7">
        <v>36</v>
      </c>
      <c r="F5" s="1" t="s">
        <v>21</v>
      </c>
    </row>
    <row r="6" spans="1:6" x14ac:dyDescent="0.35">
      <c r="A6" s="4" t="s">
        <v>26</v>
      </c>
      <c r="B6" s="4" t="s">
        <v>11</v>
      </c>
      <c r="C6" s="5">
        <v>4</v>
      </c>
      <c r="D6" s="6">
        <f>IFERROR(VLOOKUP(TRIM(B6), GiaCuoc_Master!$A$2:$C$7, 3, FALSE), "Lỗi mã khu vực")</f>
        <v>55000</v>
      </c>
      <c r="E6" s="5">
        <v>29</v>
      </c>
      <c r="F6" s="4" t="s">
        <v>21</v>
      </c>
    </row>
    <row r="7" spans="1:6" x14ac:dyDescent="0.35">
      <c r="A7" s="1" t="s">
        <v>27</v>
      </c>
      <c r="B7" s="1" t="s">
        <v>3</v>
      </c>
      <c r="C7" s="7">
        <v>1</v>
      </c>
      <c r="D7" s="3">
        <f>IFERROR(VLOOKUP(TRIM(B7), GiaCuoc_Master!$A$2:$C$7, 3, FALSE), "Lỗi mã khu vực")</f>
        <v>22000</v>
      </c>
      <c r="E7" s="7">
        <v>52</v>
      </c>
      <c r="F7" s="1" t="s">
        <v>21</v>
      </c>
    </row>
    <row r="8" spans="1:6" x14ac:dyDescent="0.35">
      <c r="A8" s="4" t="s">
        <v>28</v>
      </c>
      <c r="B8" s="4" t="s">
        <v>5</v>
      </c>
      <c r="C8" s="5">
        <v>7.5</v>
      </c>
      <c r="D8" s="6">
        <f>IFERROR(VLOOKUP(TRIM(B8), GiaCuoc_Master!$A$2:$C$7, 3, FALSE), "Lỗi mã khu vực")</f>
        <v>35000</v>
      </c>
      <c r="E8" s="5">
        <v>102</v>
      </c>
      <c r="F8" s="4" t="s">
        <v>24</v>
      </c>
    </row>
    <row r="9" spans="1:6" x14ac:dyDescent="0.35">
      <c r="A9" s="1" t="s">
        <v>29</v>
      </c>
      <c r="B9" s="1" t="s">
        <v>3</v>
      </c>
      <c r="C9" s="7">
        <v>7.5</v>
      </c>
      <c r="D9" s="3">
        <f>IFERROR(VLOOKUP(TRIM(B9), GiaCuoc_Master!$A$2:$C$7, 3, FALSE), "Lỗi mã khu vực")</f>
        <v>22000</v>
      </c>
      <c r="E9" s="7">
        <v>50</v>
      </c>
      <c r="F9" s="1" t="s">
        <v>21</v>
      </c>
    </row>
    <row r="10" spans="1:6" x14ac:dyDescent="0.35">
      <c r="A10" s="4" t="s">
        <v>30</v>
      </c>
      <c r="B10" s="4" t="s">
        <v>13</v>
      </c>
      <c r="C10" s="5">
        <v>7.5</v>
      </c>
      <c r="D10" s="6">
        <f>IFERROR(VLOOKUP(TRIM(B10), GiaCuoc_Master!$A$2:$C$7, 3, FALSE), "Lỗi mã khu vực")</f>
        <v>75000</v>
      </c>
      <c r="E10" s="5">
        <v>78</v>
      </c>
      <c r="F10" s="4" t="s">
        <v>21</v>
      </c>
    </row>
    <row r="11" spans="1:6" x14ac:dyDescent="0.35">
      <c r="A11" s="1" t="s">
        <v>31</v>
      </c>
      <c r="B11" s="1" t="s">
        <v>5</v>
      </c>
      <c r="C11" s="7">
        <v>5</v>
      </c>
      <c r="D11" s="3">
        <f>IFERROR(VLOOKUP(TRIM(B11), GiaCuoc_Master!$A$2:$C$7, 3, FALSE), "Lỗi mã khu vực")</f>
        <v>35000</v>
      </c>
      <c r="E11" s="7">
        <v>100</v>
      </c>
      <c r="F11" s="1" t="s">
        <v>24</v>
      </c>
    </row>
    <row r="12" spans="1:6" x14ac:dyDescent="0.35">
      <c r="A12" s="4" t="s">
        <v>32</v>
      </c>
      <c r="B12" s="4" t="s">
        <v>7</v>
      </c>
      <c r="C12" s="5">
        <v>0.5</v>
      </c>
      <c r="D12" s="6">
        <f>IFERROR(VLOOKUP(TRIM(B12), GiaCuoc_Master!$A$2:$C$7, 3, FALSE), "Lỗi mã khu vực")</f>
        <v>25000</v>
      </c>
      <c r="E12" s="5">
        <v>45</v>
      </c>
      <c r="F12" s="4" t="s">
        <v>21</v>
      </c>
    </row>
    <row r="13" spans="1:6" x14ac:dyDescent="0.35">
      <c r="A13" s="1" t="s">
        <v>33</v>
      </c>
      <c r="B13" s="1" t="s">
        <v>13</v>
      </c>
      <c r="C13" s="7">
        <v>4</v>
      </c>
      <c r="D13" s="3">
        <f>IFERROR(VLOOKUP(TRIM(B13), GiaCuoc_Master!$A$2:$C$7, 3, FALSE), "Lỗi mã khu vực")</f>
        <v>75000</v>
      </c>
      <c r="E13" s="7">
        <v>68</v>
      </c>
      <c r="F13" s="1" t="s">
        <v>21</v>
      </c>
    </row>
    <row r="14" spans="1:6" x14ac:dyDescent="0.35">
      <c r="A14" s="4" t="s">
        <v>34</v>
      </c>
      <c r="B14" s="4" t="s">
        <v>7</v>
      </c>
      <c r="C14" s="5">
        <v>1.5</v>
      </c>
      <c r="D14" s="6">
        <f>IFERROR(VLOOKUP(TRIM(B14), GiaCuoc_Master!$A$2:$C$7, 3, FALSE), "Lỗi mã khu vực")</f>
        <v>25000</v>
      </c>
      <c r="E14" s="5">
        <v>52</v>
      </c>
      <c r="F14" s="4" t="s">
        <v>21</v>
      </c>
    </row>
    <row r="15" spans="1:6" x14ac:dyDescent="0.35">
      <c r="A15" s="1" t="s">
        <v>35</v>
      </c>
      <c r="B15" s="1" t="s">
        <v>7</v>
      </c>
      <c r="C15" s="7">
        <v>1</v>
      </c>
      <c r="D15" s="3">
        <f>IFERROR(VLOOKUP(TRIM(B15), GiaCuoc_Master!$A$2:$C$7, 3, FALSE), "Lỗi mã khu vực")</f>
        <v>25000</v>
      </c>
      <c r="E15" s="7">
        <v>36</v>
      </c>
      <c r="F15" s="1" t="s">
        <v>21</v>
      </c>
    </row>
    <row r="16" spans="1:6" x14ac:dyDescent="0.35">
      <c r="A16" s="4" t="s">
        <v>36</v>
      </c>
      <c r="B16" s="4" t="s">
        <v>9</v>
      </c>
      <c r="C16" s="5">
        <v>1</v>
      </c>
      <c r="D16" s="6">
        <f>IFERROR(VLOOKUP(TRIM(B16), GiaCuoc_Master!$A$2:$C$7, 3, FALSE), "Lỗi mã khu vực")</f>
        <v>40000</v>
      </c>
      <c r="E16" s="5">
        <v>70</v>
      </c>
      <c r="F16" s="4" t="s">
        <v>21</v>
      </c>
    </row>
    <row r="17" spans="1:6" x14ac:dyDescent="0.35">
      <c r="A17" s="1" t="s">
        <v>37</v>
      </c>
      <c r="B17" s="1" t="s">
        <v>7</v>
      </c>
      <c r="C17" s="7">
        <v>10</v>
      </c>
      <c r="D17" s="3">
        <f>IFERROR(VLOOKUP(TRIM(B17), GiaCuoc_Master!$A$2:$C$7, 3, FALSE), "Lỗi mã khu vực")</f>
        <v>25000</v>
      </c>
      <c r="E17" s="7">
        <v>58</v>
      </c>
      <c r="F17" s="1" t="s">
        <v>21</v>
      </c>
    </row>
    <row r="18" spans="1:6" x14ac:dyDescent="0.35">
      <c r="A18" s="4" t="s">
        <v>38</v>
      </c>
      <c r="B18" s="4" t="s">
        <v>3</v>
      </c>
      <c r="C18" s="5">
        <v>5</v>
      </c>
      <c r="D18" s="6">
        <f>IFERROR(VLOOKUP(TRIM(B18), GiaCuoc_Master!$A$2:$C$7, 3, FALSE), "Lỗi mã khu vực")</f>
        <v>22000</v>
      </c>
      <c r="E18" s="5">
        <v>93</v>
      </c>
      <c r="F18" s="4" t="s">
        <v>24</v>
      </c>
    </row>
    <row r="19" spans="1:6" x14ac:dyDescent="0.35">
      <c r="A19" s="1" t="s">
        <v>39</v>
      </c>
      <c r="B19" s="1" t="s">
        <v>3</v>
      </c>
      <c r="C19" s="7">
        <v>4</v>
      </c>
      <c r="D19" s="3">
        <f>IFERROR(VLOOKUP(TRIM(B19), GiaCuoc_Master!$A$2:$C$7, 3, FALSE), "Lỗi mã khu vực")</f>
        <v>22000</v>
      </c>
      <c r="E19" s="7">
        <v>35</v>
      </c>
      <c r="F19" s="1" t="s">
        <v>21</v>
      </c>
    </row>
    <row r="20" spans="1:6" x14ac:dyDescent="0.35">
      <c r="A20" s="4" t="s">
        <v>40</v>
      </c>
      <c r="B20" s="4" t="s">
        <v>11</v>
      </c>
      <c r="C20" s="5">
        <v>2.5</v>
      </c>
      <c r="D20" s="6">
        <f>IFERROR(VLOOKUP(TRIM(B20), GiaCuoc_Master!$A$2:$C$7, 3, FALSE), "Lỗi mã khu vực")</f>
        <v>55000</v>
      </c>
      <c r="E20" s="5">
        <v>105</v>
      </c>
      <c r="F20" s="4" t="s">
        <v>24</v>
      </c>
    </row>
    <row r="21" spans="1:6" x14ac:dyDescent="0.35">
      <c r="A21" s="1" t="s">
        <v>41</v>
      </c>
      <c r="B21" s="1" t="s">
        <v>11</v>
      </c>
      <c r="C21" s="7">
        <v>3</v>
      </c>
      <c r="D21" s="3">
        <f>IFERROR(VLOOKUP(TRIM(B21), GiaCuoc_Master!$A$2:$C$7, 3, FALSE), "Lỗi mã khu vực")</f>
        <v>55000</v>
      </c>
      <c r="E21" s="7">
        <v>98</v>
      </c>
      <c r="F21" s="1" t="s">
        <v>24</v>
      </c>
    </row>
    <row r="22" spans="1:6" x14ac:dyDescent="0.35">
      <c r="A22" s="4" t="s">
        <v>42</v>
      </c>
      <c r="B22" s="4" t="s">
        <v>5</v>
      </c>
      <c r="C22" s="5">
        <v>1</v>
      </c>
      <c r="D22" s="6">
        <f>IFERROR(VLOOKUP(TRIM(B22), GiaCuoc_Master!$A$2:$C$7, 3, FALSE), "Lỗi mã khu vực")</f>
        <v>35000</v>
      </c>
      <c r="E22" s="5">
        <v>30</v>
      </c>
      <c r="F22" s="4" t="s">
        <v>21</v>
      </c>
    </row>
    <row r="23" spans="1:6" x14ac:dyDescent="0.35">
      <c r="A23" s="1" t="s">
        <v>43</v>
      </c>
      <c r="B23" s="1" t="s">
        <v>13</v>
      </c>
      <c r="C23" s="7">
        <v>2</v>
      </c>
      <c r="D23" s="3">
        <f>IFERROR(VLOOKUP(TRIM(B23), GiaCuoc_Master!$A$2:$C$7, 3, FALSE), "Lỗi mã khu vực")</f>
        <v>75000</v>
      </c>
      <c r="E23" s="7">
        <v>62</v>
      </c>
      <c r="F23" s="1" t="s">
        <v>21</v>
      </c>
    </row>
    <row r="24" spans="1:6" x14ac:dyDescent="0.35">
      <c r="A24" s="4" t="s">
        <v>44</v>
      </c>
      <c r="B24" s="4" t="s">
        <v>3</v>
      </c>
      <c r="C24" s="5">
        <v>2</v>
      </c>
      <c r="D24" s="6">
        <f>IFERROR(VLOOKUP(TRIM(B24), GiaCuoc_Master!$A$2:$C$7, 3, FALSE), "Lỗi mã khu vực")</f>
        <v>22000</v>
      </c>
      <c r="E24" s="5">
        <v>37</v>
      </c>
      <c r="F24" s="4" t="s">
        <v>21</v>
      </c>
    </row>
    <row r="25" spans="1:6" x14ac:dyDescent="0.35">
      <c r="A25" s="1" t="s">
        <v>45</v>
      </c>
      <c r="B25" s="1" t="s">
        <v>9</v>
      </c>
      <c r="C25" s="7">
        <v>2.5</v>
      </c>
      <c r="D25" s="3">
        <f>IFERROR(VLOOKUP(TRIM(B25), GiaCuoc_Master!$A$2:$C$7, 3, FALSE), "Lỗi mã khu vực")</f>
        <v>40000</v>
      </c>
      <c r="E25" s="7">
        <v>83</v>
      </c>
      <c r="F25" s="1" t="s">
        <v>21</v>
      </c>
    </row>
    <row r="26" spans="1:6" x14ac:dyDescent="0.35">
      <c r="A26" s="4" t="s">
        <v>46</v>
      </c>
      <c r="B26" s="4" t="s">
        <v>13</v>
      </c>
      <c r="C26" s="5">
        <v>3</v>
      </c>
      <c r="D26" s="6">
        <f>IFERROR(VLOOKUP(TRIM(B26), GiaCuoc_Master!$A$2:$C$7, 3, FALSE), "Lỗi mã khu vực")</f>
        <v>75000</v>
      </c>
      <c r="E26" s="5">
        <v>45</v>
      </c>
      <c r="F26" s="4" t="s">
        <v>21</v>
      </c>
    </row>
    <row r="27" spans="1:6" x14ac:dyDescent="0.35">
      <c r="A27" s="1" t="s">
        <v>47</v>
      </c>
      <c r="B27" s="1" t="s">
        <v>7</v>
      </c>
      <c r="C27" s="7">
        <v>3</v>
      </c>
      <c r="D27" s="3">
        <f>IFERROR(VLOOKUP(TRIM(B27), GiaCuoc_Master!$A$2:$C$7, 3, FALSE), "Lỗi mã khu vực")</f>
        <v>25000</v>
      </c>
      <c r="E27" s="7">
        <v>51</v>
      </c>
      <c r="F27" s="1" t="s">
        <v>21</v>
      </c>
    </row>
    <row r="28" spans="1:6" x14ac:dyDescent="0.35">
      <c r="A28" s="4" t="s">
        <v>48</v>
      </c>
      <c r="B28" s="4" t="s">
        <v>13</v>
      </c>
      <c r="C28" s="5">
        <v>2.5</v>
      </c>
      <c r="D28" s="6">
        <f>IFERROR(VLOOKUP(TRIM(B28), GiaCuoc_Master!$A$2:$C$7, 3, FALSE), "Lỗi mã khu vực")</f>
        <v>75000</v>
      </c>
      <c r="E28" s="5">
        <v>114</v>
      </c>
      <c r="F28" s="4" t="s">
        <v>24</v>
      </c>
    </row>
    <row r="29" spans="1:6" x14ac:dyDescent="0.35">
      <c r="A29" s="1" t="s">
        <v>49</v>
      </c>
      <c r="B29" s="1" t="s">
        <v>13</v>
      </c>
      <c r="C29" s="7">
        <v>1</v>
      </c>
      <c r="D29" s="3">
        <f>IFERROR(VLOOKUP(TRIM(B29), GiaCuoc_Master!$A$2:$C$7, 3, FALSE), "Lỗi mã khu vực")</f>
        <v>75000</v>
      </c>
      <c r="E29" s="7">
        <v>102</v>
      </c>
      <c r="F29" s="1" t="s">
        <v>24</v>
      </c>
    </row>
    <row r="30" spans="1:6" x14ac:dyDescent="0.35">
      <c r="A30" s="4" t="s">
        <v>50</v>
      </c>
      <c r="B30" s="4" t="s">
        <v>13</v>
      </c>
      <c r="C30" s="5">
        <v>1.5</v>
      </c>
      <c r="D30" s="6">
        <f>IFERROR(VLOOKUP(TRIM(B30), GiaCuoc_Master!$A$2:$C$7, 3, FALSE), "Lỗi mã khu vực")</f>
        <v>75000</v>
      </c>
      <c r="E30" s="5">
        <v>93</v>
      </c>
      <c r="F30" s="4" t="s">
        <v>24</v>
      </c>
    </row>
    <row r="31" spans="1:6" x14ac:dyDescent="0.35">
      <c r="A31" s="1" t="s">
        <v>51</v>
      </c>
      <c r="B31" s="1" t="s">
        <v>13</v>
      </c>
      <c r="C31" s="7">
        <v>2</v>
      </c>
      <c r="D31" s="3">
        <f>IFERROR(VLOOKUP(TRIM(B31), GiaCuoc_Master!$A$2:$C$7, 3, FALSE), "Lỗi mã khu vực")</f>
        <v>75000</v>
      </c>
      <c r="E31" s="7">
        <v>45</v>
      </c>
      <c r="F31" s="1" t="s">
        <v>21</v>
      </c>
    </row>
    <row r="32" spans="1:6" x14ac:dyDescent="0.35">
      <c r="A32" s="4" t="s">
        <v>52</v>
      </c>
      <c r="B32" s="4" t="s">
        <v>9</v>
      </c>
      <c r="C32" s="5">
        <v>4</v>
      </c>
      <c r="D32" s="6">
        <f>IFERROR(VLOOKUP(TRIM(B32), GiaCuoc_Master!$A$2:$C$7, 3, FALSE), "Lỗi mã khu vực")</f>
        <v>40000</v>
      </c>
      <c r="E32" s="5">
        <v>59</v>
      </c>
      <c r="F32" s="4" t="s">
        <v>21</v>
      </c>
    </row>
    <row r="33" spans="1:6" x14ac:dyDescent="0.35">
      <c r="A33" s="1" t="s">
        <v>53</v>
      </c>
      <c r="B33" s="1" t="s">
        <v>13</v>
      </c>
      <c r="C33" s="7">
        <v>7.5</v>
      </c>
      <c r="D33" s="3">
        <f>IFERROR(VLOOKUP(TRIM(B33), GiaCuoc_Master!$A$2:$C$7, 3, FALSE), "Lỗi mã khu vực")</f>
        <v>75000</v>
      </c>
      <c r="E33" s="7">
        <v>53</v>
      </c>
      <c r="F33" s="1" t="s">
        <v>21</v>
      </c>
    </row>
    <row r="34" spans="1:6" x14ac:dyDescent="0.35">
      <c r="A34" s="4" t="s">
        <v>54</v>
      </c>
      <c r="B34" s="4" t="s">
        <v>13</v>
      </c>
      <c r="C34" s="5">
        <v>3</v>
      </c>
      <c r="D34" s="6">
        <f>IFERROR(VLOOKUP(TRIM(B34), GiaCuoc_Master!$A$2:$C$7, 3, FALSE), "Lỗi mã khu vực")</f>
        <v>75000</v>
      </c>
      <c r="E34" s="5">
        <v>32</v>
      </c>
      <c r="F34" s="4" t="s">
        <v>21</v>
      </c>
    </row>
    <row r="35" spans="1:6" x14ac:dyDescent="0.35">
      <c r="A35" s="1" t="s">
        <v>55</v>
      </c>
      <c r="B35" s="1" t="s">
        <v>5</v>
      </c>
      <c r="C35" s="7">
        <v>0.5</v>
      </c>
      <c r="D35" s="3">
        <f>IFERROR(VLOOKUP(TRIM(B35), GiaCuoc_Master!$A$2:$C$7, 3, FALSE), "Lỗi mã khu vực")</f>
        <v>35000</v>
      </c>
      <c r="E35" s="7">
        <v>65</v>
      </c>
      <c r="F35" s="1" t="s">
        <v>21</v>
      </c>
    </row>
    <row r="36" spans="1:6" x14ac:dyDescent="0.35">
      <c r="A36" s="4" t="s">
        <v>56</v>
      </c>
      <c r="B36" s="4" t="s">
        <v>9</v>
      </c>
      <c r="C36" s="5">
        <v>2.5</v>
      </c>
      <c r="D36" s="6">
        <f>IFERROR(VLOOKUP(TRIM(B36), GiaCuoc_Master!$A$2:$C$7, 3, FALSE), "Lỗi mã khu vực")</f>
        <v>40000</v>
      </c>
      <c r="E36" s="5">
        <v>33</v>
      </c>
      <c r="F36" s="4" t="s">
        <v>21</v>
      </c>
    </row>
    <row r="37" spans="1:6" x14ac:dyDescent="0.35">
      <c r="A37" s="1" t="s">
        <v>57</v>
      </c>
      <c r="B37" s="1" t="s">
        <v>5</v>
      </c>
      <c r="C37" s="7">
        <v>10</v>
      </c>
      <c r="D37" s="3">
        <f>IFERROR(VLOOKUP(TRIM(B37), GiaCuoc_Master!$A$2:$C$7, 3, FALSE), "Lỗi mã khu vực")</f>
        <v>35000</v>
      </c>
      <c r="E37" s="7">
        <v>116</v>
      </c>
      <c r="F37" s="1" t="s">
        <v>24</v>
      </c>
    </row>
    <row r="38" spans="1:6" x14ac:dyDescent="0.35">
      <c r="A38" s="4" t="s">
        <v>58</v>
      </c>
      <c r="B38" s="4" t="s">
        <v>7</v>
      </c>
      <c r="C38" s="5">
        <v>2</v>
      </c>
      <c r="D38" s="6">
        <f>IFERROR(VLOOKUP(TRIM(B38), GiaCuoc_Master!$A$2:$C$7, 3, FALSE), "Lỗi mã khu vực")</f>
        <v>25000</v>
      </c>
      <c r="E38" s="5">
        <v>108</v>
      </c>
      <c r="F38" s="4" t="s">
        <v>24</v>
      </c>
    </row>
    <row r="39" spans="1:6" x14ac:dyDescent="0.35">
      <c r="A39" s="1" t="s">
        <v>59</v>
      </c>
      <c r="B39" s="1" t="s">
        <v>9</v>
      </c>
      <c r="C39" s="7">
        <v>4</v>
      </c>
      <c r="D39" s="3">
        <f>IFERROR(VLOOKUP(TRIM(B39), GiaCuoc_Master!$A$2:$C$7, 3, FALSE), "Lỗi mã khu vực")</f>
        <v>40000</v>
      </c>
      <c r="E39" s="7">
        <v>107</v>
      </c>
      <c r="F39" s="1" t="s">
        <v>24</v>
      </c>
    </row>
    <row r="40" spans="1:6" x14ac:dyDescent="0.35">
      <c r="A40" s="4" t="s">
        <v>60</v>
      </c>
      <c r="B40" s="4" t="s">
        <v>9</v>
      </c>
      <c r="C40" s="5">
        <v>1.5</v>
      </c>
      <c r="D40" s="6">
        <f>IFERROR(VLOOKUP(TRIM(B40), GiaCuoc_Master!$A$2:$C$7, 3, FALSE), "Lỗi mã khu vực")</f>
        <v>40000</v>
      </c>
      <c r="E40" s="5">
        <v>58</v>
      </c>
      <c r="F40" s="4" t="s">
        <v>21</v>
      </c>
    </row>
    <row r="41" spans="1:6" x14ac:dyDescent="0.35">
      <c r="A41" s="1" t="s">
        <v>61</v>
      </c>
      <c r="B41" s="1" t="s">
        <v>5</v>
      </c>
      <c r="C41" s="7">
        <v>2</v>
      </c>
      <c r="D41" s="3">
        <f>IFERROR(VLOOKUP(TRIM(B41), GiaCuoc_Master!$A$2:$C$7, 3, FALSE), "Lỗi mã khu vực")</f>
        <v>35000</v>
      </c>
      <c r="E41" s="7">
        <v>120</v>
      </c>
      <c r="F41" s="1" t="s">
        <v>24</v>
      </c>
    </row>
    <row r="42" spans="1:6" x14ac:dyDescent="0.35">
      <c r="A42" s="4" t="s">
        <v>62</v>
      </c>
      <c r="B42" s="4" t="s">
        <v>11</v>
      </c>
      <c r="C42" s="5">
        <v>7.5</v>
      </c>
      <c r="D42" s="6">
        <f>IFERROR(VLOOKUP(TRIM(B42), GiaCuoc_Master!$A$2:$C$7, 3, FALSE), "Lỗi mã khu vực")</f>
        <v>55000</v>
      </c>
      <c r="E42" s="5">
        <v>58</v>
      </c>
      <c r="F42" s="4" t="s">
        <v>21</v>
      </c>
    </row>
    <row r="43" spans="1:6" x14ac:dyDescent="0.35">
      <c r="A43" s="1" t="s">
        <v>63</v>
      </c>
      <c r="B43" s="1" t="s">
        <v>13</v>
      </c>
      <c r="C43" s="7">
        <v>10</v>
      </c>
      <c r="D43" s="3">
        <f>IFERROR(VLOOKUP(TRIM(B43), GiaCuoc_Master!$A$2:$C$7, 3, FALSE), "Lỗi mã khu vực")</f>
        <v>75000</v>
      </c>
      <c r="E43" s="7">
        <v>79</v>
      </c>
      <c r="F43" s="1" t="s">
        <v>21</v>
      </c>
    </row>
    <row r="44" spans="1:6" x14ac:dyDescent="0.35">
      <c r="A44" s="4" t="s">
        <v>64</v>
      </c>
      <c r="B44" s="4" t="s">
        <v>11</v>
      </c>
      <c r="C44" s="5">
        <v>4</v>
      </c>
      <c r="D44" s="6">
        <f>IFERROR(VLOOKUP(TRIM(B44), GiaCuoc_Master!$A$2:$C$7, 3, FALSE), "Lỗi mã khu vực")</f>
        <v>55000</v>
      </c>
      <c r="E44" s="5">
        <v>71</v>
      </c>
      <c r="F44" s="4" t="s">
        <v>21</v>
      </c>
    </row>
    <row r="45" spans="1:6" x14ac:dyDescent="0.35">
      <c r="A45" s="1" t="s">
        <v>65</v>
      </c>
      <c r="B45" s="1" t="s">
        <v>5</v>
      </c>
      <c r="C45" s="7">
        <v>1.5</v>
      </c>
      <c r="D45" s="3">
        <f>IFERROR(VLOOKUP(TRIM(B45), GiaCuoc_Master!$A$2:$C$7, 3, FALSE), "Lỗi mã khu vực")</f>
        <v>35000</v>
      </c>
      <c r="E45" s="7">
        <v>90</v>
      </c>
      <c r="F45" s="1" t="s">
        <v>21</v>
      </c>
    </row>
    <row r="46" spans="1:6" x14ac:dyDescent="0.35">
      <c r="A46" s="4" t="s">
        <v>66</v>
      </c>
      <c r="B46" s="4" t="s">
        <v>9</v>
      </c>
      <c r="C46" s="5">
        <v>1</v>
      </c>
      <c r="D46" s="6">
        <f>IFERROR(VLOOKUP(TRIM(B46), GiaCuoc_Master!$A$2:$C$7, 3, FALSE), "Lỗi mã khu vực")</f>
        <v>40000</v>
      </c>
      <c r="E46" s="5">
        <v>31</v>
      </c>
      <c r="F46" s="4" t="s">
        <v>21</v>
      </c>
    </row>
    <row r="47" spans="1:6" x14ac:dyDescent="0.35">
      <c r="A47" s="1" t="s">
        <v>67</v>
      </c>
      <c r="B47" s="1" t="s">
        <v>3</v>
      </c>
      <c r="C47" s="7">
        <v>1.5</v>
      </c>
      <c r="D47" s="3">
        <f>IFERROR(VLOOKUP(TRIM(B47), GiaCuoc_Master!$A$2:$C$7, 3, FALSE), "Lỗi mã khu vực")</f>
        <v>22000</v>
      </c>
      <c r="E47" s="7">
        <v>105</v>
      </c>
      <c r="F47" s="1" t="s">
        <v>24</v>
      </c>
    </row>
    <row r="48" spans="1:6" x14ac:dyDescent="0.35">
      <c r="A48" s="4" t="s">
        <v>68</v>
      </c>
      <c r="B48" s="4" t="s">
        <v>5</v>
      </c>
      <c r="C48" s="5">
        <v>4</v>
      </c>
      <c r="D48" s="6">
        <f>IFERROR(VLOOKUP(TRIM(B48), GiaCuoc_Master!$A$2:$C$7, 3, FALSE), "Lỗi mã khu vực")</f>
        <v>35000</v>
      </c>
      <c r="E48" s="5">
        <v>101</v>
      </c>
      <c r="F48" s="4" t="s">
        <v>24</v>
      </c>
    </row>
    <row r="49" spans="1:6" x14ac:dyDescent="0.35">
      <c r="A49" s="1" t="s">
        <v>69</v>
      </c>
      <c r="B49" s="1" t="s">
        <v>3</v>
      </c>
      <c r="C49" s="7">
        <v>4</v>
      </c>
      <c r="D49" s="3">
        <f>IFERROR(VLOOKUP(TRIM(B49), GiaCuoc_Master!$A$2:$C$7, 3, FALSE), "Lỗi mã khu vực")</f>
        <v>22000</v>
      </c>
      <c r="E49" s="7">
        <v>73</v>
      </c>
      <c r="F49" s="1" t="s">
        <v>21</v>
      </c>
    </row>
    <row r="50" spans="1:6" x14ac:dyDescent="0.35">
      <c r="A50" s="4" t="s">
        <v>70</v>
      </c>
      <c r="B50" s="4" t="s">
        <v>11</v>
      </c>
      <c r="C50" s="5">
        <v>5</v>
      </c>
      <c r="D50" s="6">
        <f>IFERROR(VLOOKUP(TRIM(B50), GiaCuoc_Master!$A$2:$C$7, 3, FALSE), "Lỗi mã khu vực")</f>
        <v>55000</v>
      </c>
      <c r="E50" s="5">
        <v>92</v>
      </c>
      <c r="F50" s="4" t="s">
        <v>24</v>
      </c>
    </row>
    <row r="51" spans="1:6" x14ac:dyDescent="0.35">
      <c r="A51" s="1" t="s">
        <v>71</v>
      </c>
      <c r="B51" s="1" t="s">
        <v>72</v>
      </c>
      <c r="C51" s="7">
        <v>7.5</v>
      </c>
      <c r="D51" s="3" t="str">
        <f>IFERROR(VLOOKUP(TRIM(B51), GiaCuoc_Master!$A$2:$C$7, 3, FALSE), "Lỗi mã khu vực")</f>
        <v>Lỗi mã khu vực</v>
      </c>
      <c r="E51" s="7">
        <v>26</v>
      </c>
      <c r="F51" s="1" t="s">
        <v>21</v>
      </c>
    </row>
    <row r="52" spans="1:6" x14ac:dyDescent="0.35">
      <c r="A52" s="4" t="s">
        <v>73</v>
      </c>
      <c r="B52" s="4" t="s">
        <v>13</v>
      </c>
      <c r="C52" s="5">
        <v>1</v>
      </c>
      <c r="D52" s="6">
        <f>IFERROR(VLOOKUP(TRIM(B52), GiaCuoc_Master!$A$2:$C$7, 3, FALSE), "Lỗi mã khu vực")</f>
        <v>75000</v>
      </c>
      <c r="E52" s="5">
        <v>112</v>
      </c>
      <c r="F52" s="4" t="s">
        <v>24</v>
      </c>
    </row>
    <row r="53" spans="1:6" x14ac:dyDescent="0.35">
      <c r="A53" s="1" t="s">
        <v>74</v>
      </c>
      <c r="B53" s="1" t="s">
        <v>11</v>
      </c>
      <c r="C53" s="7">
        <v>2.5</v>
      </c>
      <c r="D53" s="3">
        <f>IFERROR(VLOOKUP(TRIM(B53), GiaCuoc_Master!$A$2:$C$7, 3, FALSE), "Lỗi mã khu vực")</f>
        <v>55000</v>
      </c>
      <c r="E53" s="7">
        <v>107</v>
      </c>
      <c r="F53" s="1" t="s">
        <v>24</v>
      </c>
    </row>
    <row r="54" spans="1:6" x14ac:dyDescent="0.35">
      <c r="A54" s="4" t="s">
        <v>75</v>
      </c>
      <c r="B54" s="4" t="s">
        <v>7</v>
      </c>
      <c r="C54" s="5">
        <v>1</v>
      </c>
      <c r="D54" s="6">
        <f>IFERROR(VLOOKUP(TRIM(B54), GiaCuoc_Master!$A$2:$C$7, 3, FALSE), "Lỗi mã khu vực")</f>
        <v>25000</v>
      </c>
      <c r="E54" s="5">
        <v>62</v>
      </c>
      <c r="F54" s="4" t="s">
        <v>21</v>
      </c>
    </row>
    <row r="55" spans="1:6" x14ac:dyDescent="0.35">
      <c r="A55" s="1" t="s">
        <v>76</v>
      </c>
      <c r="B55" s="1" t="s">
        <v>9</v>
      </c>
      <c r="C55" s="7">
        <v>1.5</v>
      </c>
      <c r="D55" s="3">
        <f>IFERROR(VLOOKUP(TRIM(B55), GiaCuoc_Master!$A$2:$C$7, 3, FALSE), "Lỗi mã khu vực")</f>
        <v>40000</v>
      </c>
      <c r="E55" s="7">
        <v>83</v>
      </c>
      <c r="F55" s="1" t="s">
        <v>21</v>
      </c>
    </row>
    <row r="56" spans="1:6" x14ac:dyDescent="0.35">
      <c r="A56" s="4" t="s">
        <v>77</v>
      </c>
      <c r="B56" s="4" t="s">
        <v>3</v>
      </c>
      <c r="C56" s="5">
        <v>2.5</v>
      </c>
      <c r="D56" s="6">
        <f>IFERROR(VLOOKUP(TRIM(B56), GiaCuoc_Master!$A$2:$C$7, 3, FALSE), "Lỗi mã khu vực")</f>
        <v>22000</v>
      </c>
      <c r="E56" s="5">
        <v>89</v>
      </c>
      <c r="F56" s="4" t="s">
        <v>21</v>
      </c>
    </row>
    <row r="57" spans="1:6" x14ac:dyDescent="0.35">
      <c r="A57" s="1" t="s">
        <v>78</v>
      </c>
      <c r="B57" s="1" t="s">
        <v>5</v>
      </c>
      <c r="C57" s="7">
        <v>7.5</v>
      </c>
      <c r="D57" s="3">
        <f>IFERROR(VLOOKUP(TRIM(B57), GiaCuoc_Master!$A$2:$C$7, 3, FALSE), "Lỗi mã khu vực")</f>
        <v>35000</v>
      </c>
      <c r="E57" s="7">
        <v>38</v>
      </c>
      <c r="F57" s="1" t="s">
        <v>21</v>
      </c>
    </row>
    <row r="58" spans="1:6" x14ac:dyDescent="0.35">
      <c r="A58" s="4" t="s">
        <v>79</v>
      </c>
      <c r="B58" s="4" t="s">
        <v>13</v>
      </c>
      <c r="C58" s="5">
        <v>2.5</v>
      </c>
      <c r="D58" s="6">
        <f>IFERROR(VLOOKUP(TRIM(B58), GiaCuoc_Master!$A$2:$C$7, 3, FALSE), "Lỗi mã khu vực")</f>
        <v>75000</v>
      </c>
      <c r="E58" s="5">
        <v>106</v>
      </c>
      <c r="F58" s="4" t="s">
        <v>24</v>
      </c>
    </row>
    <row r="59" spans="1:6" x14ac:dyDescent="0.35">
      <c r="A59" s="1" t="s">
        <v>80</v>
      </c>
      <c r="B59" s="1" t="s">
        <v>11</v>
      </c>
      <c r="C59" s="7">
        <v>10</v>
      </c>
      <c r="D59" s="3">
        <f>IFERROR(VLOOKUP(TRIM(B59), GiaCuoc_Master!$A$2:$C$7, 3, FALSE), "Lỗi mã khu vực")</f>
        <v>55000</v>
      </c>
      <c r="E59" s="7">
        <v>50</v>
      </c>
      <c r="F59" s="1" t="s">
        <v>21</v>
      </c>
    </row>
    <row r="60" spans="1:6" x14ac:dyDescent="0.35">
      <c r="A60" s="4" t="s">
        <v>81</v>
      </c>
      <c r="B60" s="4" t="s">
        <v>5</v>
      </c>
      <c r="C60" s="5">
        <v>3</v>
      </c>
      <c r="D60" s="6">
        <f>IFERROR(VLOOKUP(TRIM(B60), GiaCuoc_Master!$A$2:$C$7, 3, FALSE), "Lỗi mã khu vực")</f>
        <v>35000</v>
      </c>
      <c r="E60" s="5">
        <v>45</v>
      </c>
      <c r="F60" s="4" t="s">
        <v>21</v>
      </c>
    </row>
    <row r="61" spans="1:6" x14ac:dyDescent="0.35">
      <c r="A61" s="1" t="s">
        <v>82</v>
      </c>
      <c r="B61" s="1" t="s">
        <v>11</v>
      </c>
      <c r="C61" s="7">
        <v>7.5</v>
      </c>
      <c r="D61" s="3">
        <f>IFERROR(VLOOKUP(TRIM(B61), GiaCuoc_Master!$A$2:$C$7, 3, FALSE), "Lỗi mã khu vực")</f>
        <v>55000</v>
      </c>
      <c r="E61" s="7">
        <v>25</v>
      </c>
      <c r="F61" s="1" t="s">
        <v>21</v>
      </c>
    </row>
    <row r="62" spans="1:6" x14ac:dyDescent="0.35">
      <c r="A62" s="4" t="s">
        <v>83</v>
      </c>
      <c r="B62" s="4" t="s">
        <v>11</v>
      </c>
      <c r="C62" s="5">
        <v>3</v>
      </c>
      <c r="D62" s="6">
        <f>IFERROR(VLOOKUP(TRIM(B62), GiaCuoc_Master!$A$2:$C$7, 3, FALSE), "Lỗi mã khu vực")</f>
        <v>55000</v>
      </c>
      <c r="E62" s="5">
        <v>87</v>
      </c>
      <c r="F62" s="4" t="s">
        <v>21</v>
      </c>
    </row>
    <row r="63" spans="1:6" x14ac:dyDescent="0.35">
      <c r="A63" s="1" t="s">
        <v>84</v>
      </c>
      <c r="B63" s="1" t="s">
        <v>3</v>
      </c>
      <c r="C63" s="7">
        <v>1</v>
      </c>
      <c r="D63" s="3">
        <f>IFERROR(VLOOKUP(TRIM(B63), GiaCuoc_Master!$A$2:$C$7, 3, FALSE), "Lỗi mã khu vực")</f>
        <v>22000</v>
      </c>
      <c r="E63" s="7">
        <v>71</v>
      </c>
      <c r="F63" s="1" t="s">
        <v>21</v>
      </c>
    </row>
    <row r="64" spans="1:6" x14ac:dyDescent="0.35">
      <c r="A64" s="4" t="s">
        <v>85</v>
      </c>
      <c r="B64" s="4" t="s">
        <v>7</v>
      </c>
      <c r="C64" s="5">
        <v>2</v>
      </c>
      <c r="D64" s="6">
        <f>IFERROR(VLOOKUP(TRIM(B64), GiaCuoc_Master!$A$2:$C$7, 3, FALSE), "Lỗi mã khu vực")</f>
        <v>25000</v>
      </c>
      <c r="E64" s="5">
        <v>32</v>
      </c>
      <c r="F64" s="4" t="s">
        <v>21</v>
      </c>
    </row>
    <row r="65" spans="1:6" x14ac:dyDescent="0.35">
      <c r="A65" s="1" t="s">
        <v>86</v>
      </c>
      <c r="B65" s="1" t="s">
        <v>5</v>
      </c>
      <c r="C65" s="7">
        <v>10</v>
      </c>
      <c r="D65" s="3">
        <f>IFERROR(VLOOKUP(TRIM(B65), GiaCuoc_Master!$A$2:$C$7, 3, FALSE), "Lỗi mã khu vực")</f>
        <v>35000</v>
      </c>
      <c r="E65" s="7">
        <v>35</v>
      </c>
      <c r="F65" s="1" t="s">
        <v>21</v>
      </c>
    </row>
    <row r="66" spans="1:6" x14ac:dyDescent="0.35">
      <c r="A66" s="4" t="s">
        <v>87</v>
      </c>
      <c r="B66" s="4" t="s">
        <v>3</v>
      </c>
      <c r="C66" s="5">
        <v>5</v>
      </c>
      <c r="D66" s="6">
        <f>IFERROR(VLOOKUP(TRIM(B66), GiaCuoc_Master!$A$2:$C$7, 3, FALSE), "Lỗi mã khu vực")</f>
        <v>22000</v>
      </c>
      <c r="E66" s="5">
        <v>33</v>
      </c>
      <c r="F66" s="4" t="s">
        <v>21</v>
      </c>
    </row>
    <row r="67" spans="1:6" x14ac:dyDescent="0.35">
      <c r="A67" s="1" t="s">
        <v>88</v>
      </c>
      <c r="B67" s="1" t="s">
        <v>11</v>
      </c>
      <c r="C67" s="7">
        <v>1.5</v>
      </c>
      <c r="D67" s="3">
        <f>IFERROR(VLOOKUP(TRIM(B67), GiaCuoc_Master!$A$2:$C$7, 3, FALSE), "Lỗi mã khu vực")</f>
        <v>55000</v>
      </c>
      <c r="E67" s="7">
        <v>41</v>
      </c>
      <c r="F67" s="1" t="s">
        <v>21</v>
      </c>
    </row>
    <row r="68" spans="1:6" x14ac:dyDescent="0.35">
      <c r="A68" s="4" t="s">
        <v>89</v>
      </c>
      <c r="B68" s="4" t="s">
        <v>13</v>
      </c>
      <c r="C68" s="5">
        <v>5</v>
      </c>
      <c r="D68" s="6">
        <f>IFERROR(VLOOKUP(TRIM(B68), GiaCuoc_Master!$A$2:$C$7, 3, FALSE), "Lỗi mã khu vực")</f>
        <v>75000</v>
      </c>
      <c r="E68" s="5">
        <v>95</v>
      </c>
      <c r="F68" s="4" t="s">
        <v>24</v>
      </c>
    </row>
    <row r="69" spans="1:6" x14ac:dyDescent="0.35">
      <c r="A69" s="1" t="s">
        <v>90</v>
      </c>
      <c r="B69" s="1" t="s">
        <v>5</v>
      </c>
      <c r="C69" s="7">
        <v>2.5</v>
      </c>
      <c r="D69" s="3">
        <f>IFERROR(VLOOKUP(TRIM(B69), GiaCuoc_Master!$A$2:$C$7, 3, FALSE), "Lỗi mã khu vực")</f>
        <v>35000</v>
      </c>
      <c r="E69" s="7">
        <v>92</v>
      </c>
      <c r="F69" s="1" t="s">
        <v>24</v>
      </c>
    </row>
    <row r="70" spans="1:6" x14ac:dyDescent="0.35">
      <c r="A70" s="4" t="s">
        <v>91</v>
      </c>
      <c r="B70" s="4" t="s">
        <v>11</v>
      </c>
      <c r="C70" s="5">
        <v>4</v>
      </c>
      <c r="D70" s="6">
        <f>IFERROR(VLOOKUP(TRIM(B70), GiaCuoc_Master!$A$2:$C$7, 3, FALSE), "Lỗi mã khu vực")</f>
        <v>55000</v>
      </c>
      <c r="E70" s="5">
        <v>52</v>
      </c>
      <c r="F70" s="4" t="s">
        <v>21</v>
      </c>
    </row>
    <row r="71" spans="1:6" x14ac:dyDescent="0.35">
      <c r="A71" s="1" t="s">
        <v>92</v>
      </c>
      <c r="B71" s="1" t="s">
        <v>11</v>
      </c>
      <c r="C71" s="7">
        <v>2</v>
      </c>
      <c r="D71" s="3">
        <f>IFERROR(VLOOKUP(TRIM(B71), GiaCuoc_Master!$A$2:$C$7, 3, FALSE), "Lỗi mã khu vực")</f>
        <v>55000</v>
      </c>
      <c r="E71" s="7">
        <v>116</v>
      </c>
      <c r="F71" s="1" t="s">
        <v>24</v>
      </c>
    </row>
    <row r="72" spans="1:6" x14ac:dyDescent="0.35">
      <c r="A72" s="4" t="s">
        <v>93</v>
      </c>
      <c r="B72" s="4" t="s">
        <v>7</v>
      </c>
      <c r="C72" s="5">
        <v>4</v>
      </c>
      <c r="D72" s="6">
        <f>IFERROR(VLOOKUP(TRIM(B72), GiaCuoc_Master!$A$2:$C$7, 3, FALSE), "Lỗi mã khu vực")</f>
        <v>25000</v>
      </c>
      <c r="E72" s="5">
        <v>110</v>
      </c>
      <c r="F72" s="4" t="s">
        <v>24</v>
      </c>
    </row>
    <row r="73" spans="1:6" x14ac:dyDescent="0.35">
      <c r="A73" s="1" t="s">
        <v>94</v>
      </c>
      <c r="B73" s="1" t="s">
        <v>13</v>
      </c>
      <c r="C73" s="7">
        <v>3</v>
      </c>
      <c r="D73" s="3">
        <f>IFERROR(VLOOKUP(TRIM(B73), GiaCuoc_Master!$A$2:$C$7, 3, FALSE), "Lỗi mã khu vực")</f>
        <v>75000</v>
      </c>
      <c r="E73" s="7">
        <v>81</v>
      </c>
      <c r="F73" s="1" t="s">
        <v>21</v>
      </c>
    </row>
    <row r="74" spans="1:6" x14ac:dyDescent="0.35">
      <c r="A74" s="4" t="s">
        <v>95</v>
      </c>
      <c r="B74" s="4" t="s">
        <v>11</v>
      </c>
      <c r="C74" s="5">
        <v>5</v>
      </c>
      <c r="D74" s="6">
        <f>IFERROR(VLOOKUP(TRIM(B74), GiaCuoc_Master!$A$2:$C$7, 3, FALSE), "Lỗi mã khu vực")</f>
        <v>55000</v>
      </c>
      <c r="E74" s="5">
        <v>40</v>
      </c>
      <c r="F74" s="4" t="s">
        <v>21</v>
      </c>
    </row>
    <row r="75" spans="1:6" x14ac:dyDescent="0.35">
      <c r="A75" s="1" t="s">
        <v>96</v>
      </c>
      <c r="B75" s="1" t="s">
        <v>5</v>
      </c>
      <c r="C75" s="7">
        <v>2</v>
      </c>
      <c r="D75" s="3">
        <f>IFERROR(VLOOKUP(TRIM(B75), GiaCuoc_Master!$A$2:$C$7, 3, FALSE), "Lỗi mã khu vực")</f>
        <v>35000</v>
      </c>
      <c r="E75" s="7">
        <v>33</v>
      </c>
      <c r="F75" s="1" t="s">
        <v>21</v>
      </c>
    </row>
    <row r="76" spans="1:6" x14ac:dyDescent="0.35">
      <c r="A76" s="4" t="s">
        <v>97</v>
      </c>
      <c r="B76" s="4" t="s">
        <v>7</v>
      </c>
      <c r="C76" s="5">
        <v>0.5</v>
      </c>
      <c r="D76" s="6">
        <f>IFERROR(VLOOKUP(TRIM(B76), GiaCuoc_Master!$A$2:$C$7, 3, FALSE), "Lỗi mã khu vực")</f>
        <v>25000</v>
      </c>
      <c r="E76" s="5">
        <v>100</v>
      </c>
      <c r="F76" s="4" t="s">
        <v>24</v>
      </c>
    </row>
    <row r="77" spans="1:6" x14ac:dyDescent="0.35">
      <c r="A77" s="1" t="s">
        <v>98</v>
      </c>
      <c r="B77" s="1" t="s">
        <v>11</v>
      </c>
      <c r="C77" s="7">
        <v>2</v>
      </c>
      <c r="D77" s="3">
        <f>IFERROR(VLOOKUP(TRIM(B77), GiaCuoc_Master!$A$2:$C$7, 3, FALSE), "Lỗi mã khu vực")</f>
        <v>55000</v>
      </c>
      <c r="E77" s="7">
        <v>100</v>
      </c>
      <c r="F77" s="1" t="s">
        <v>24</v>
      </c>
    </row>
    <row r="78" spans="1:6" x14ac:dyDescent="0.35">
      <c r="A78" s="4" t="s">
        <v>99</v>
      </c>
      <c r="B78" s="4" t="s">
        <v>5</v>
      </c>
      <c r="C78" s="5">
        <v>0.5</v>
      </c>
      <c r="D78" s="6">
        <f>IFERROR(VLOOKUP(TRIM(B78), GiaCuoc_Master!$A$2:$C$7, 3, FALSE), "Lỗi mã khu vực")</f>
        <v>35000</v>
      </c>
      <c r="E78" s="5">
        <v>34</v>
      </c>
      <c r="F78" s="4" t="s">
        <v>21</v>
      </c>
    </row>
    <row r="79" spans="1:6" x14ac:dyDescent="0.35">
      <c r="A79" s="1" t="s">
        <v>100</v>
      </c>
      <c r="B79" s="1" t="s">
        <v>13</v>
      </c>
      <c r="C79" s="7">
        <v>0.5</v>
      </c>
      <c r="D79" s="3">
        <f>IFERROR(VLOOKUP(TRIM(B79), GiaCuoc_Master!$A$2:$C$7, 3, FALSE), "Lỗi mã khu vực")</f>
        <v>75000</v>
      </c>
      <c r="E79" s="7">
        <v>54</v>
      </c>
      <c r="F79" s="1" t="s">
        <v>21</v>
      </c>
    </row>
    <row r="80" spans="1:6" x14ac:dyDescent="0.35">
      <c r="A80" s="4" t="s">
        <v>101</v>
      </c>
      <c r="B80" s="4" t="s">
        <v>3</v>
      </c>
      <c r="C80" s="5">
        <v>0.5</v>
      </c>
      <c r="D80" s="6">
        <f>IFERROR(VLOOKUP(TRIM(B80), GiaCuoc_Master!$A$2:$C$7, 3, FALSE), "Lỗi mã khu vực")</f>
        <v>22000</v>
      </c>
      <c r="E80" s="5">
        <v>67</v>
      </c>
      <c r="F80" s="4" t="s">
        <v>21</v>
      </c>
    </row>
    <row r="81" spans="1:6" x14ac:dyDescent="0.35">
      <c r="A81" s="1" t="s">
        <v>102</v>
      </c>
      <c r="B81" s="1" t="s">
        <v>3</v>
      </c>
      <c r="C81" s="7">
        <v>7.5</v>
      </c>
      <c r="D81" s="3">
        <f>IFERROR(VLOOKUP(TRIM(B81), GiaCuoc_Master!$A$2:$C$7, 3, FALSE), "Lỗi mã khu vực")</f>
        <v>22000</v>
      </c>
      <c r="E81" s="7">
        <v>55</v>
      </c>
      <c r="F81" s="1" t="s">
        <v>21</v>
      </c>
    </row>
    <row r="82" spans="1:6" x14ac:dyDescent="0.35">
      <c r="A82" s="4" t="s">
        <v>103</v>
      </c>
      <c r="B82" s="4" t="s">
        <v>7</v>
      </c>
      <c r="C82" s="5">
        <v>5</v>
      </c>
      <c r="D82" s="6">
        <f>IFERROR(VLOOKUP(TRIM(B82), GiaCuoc_Master!$A$2:$C$7, 3, FALSE), "Lỗi mã khu vực")</f>
        <v>25000</v>
      </c>
      <c r="E82" s="5">
        <v>52</v>
      </c>
      <c r="F82" s="4" t="s">
        <v>21</v>
      </c>
    </row>
    <row r="83" spans="1:6" x14ac:dyDescent="0.35">
      <c r="A83" s="1" t="s">
        <v>104</v>
      </c>
      <c r="B83" s="1" t="s">
        <v>11</v>
      </c>
      <c r="C83" s="7">
        <v>1.5</v>
      </c>
      <c r="D83" s="3">
        <f>IFERROR(VLOOKUP(TRIM(B83), GiaCuoc_Master!$A$2:$C$7, 3, FALSE), "Lỗi mã khu vực")</f>
        <v>55000</v>
      </c>
      <c r="E83" s="7">
        <v>117</v>
      </c>
      <c r="F83" s="1" t="s">
        <v>24</v>
      </c>
    </row>
    <row r="84" spans="1:6" x14ac:dyDescent="0.35">
      <c r="A84" s="4" t="s">
        <v>105</v>
      </c>
      <c r="B84" s="4" t="s">
        <v>11</v>
      </c>
      <c r="C84" s="5">
        <v>10</v>
      </c>
      <c r="D84" s="6">
        <f>IFERROR(VLOOKUP(TRIM(B84), GiaCuoc_Master!$A$2:$C$7, 3, FALSE), "Lỗi mã khu vực")</f>
        <v>55000</v>
      </c>
      <c r="E84" s="5">
        <v>85</v>
      </c>
      <c r="F84" s="4" t="s">
        <v>21</v>
      </c>
    </row>
    <row r="85" spans="1:6" x14ac:dyDescent="0.35">
      <c r="A85" s="1" t="s">
        <v>106</v>
      </c>
      <c r="B85" s="1" t="s">
        <v>5</v>
      </c>
      <c r="C85" s="7">
        <v>5</v>
      </c>
      <c r="D85" s="3">
        <f>IFERROR(VLOOKUP(TRIM(B85), GiaCuoc_Master!$A$2:$C$7, 3, FALSE), "Lỗi mã khu vực")</f>
        <v>35000</v>
      </c>
      <c r="E85" s="7">
        <v>77</v>
      </c>
      <c r="F85" s="1" t="s">
        <v>21</v>
      </c>
    </row>
    <row r="86" spans="1:6" x14ac:dyDescent="0.35">
      <c r="A86" s="4" t="s">
        <v>107</v>
      </c>
      <c r="B86" s="4" t="s">
        <v>5</v>
      </c>
      <c r="C86" s="5">
        <v>1</v>
      </c>
      <c r="D86" s="6">
        <f>IFERROR(VLOOKUP(TRIM(B86), GiaCuoc_Master!$A$2:$C$7, 3, FALSE), "Lỗi mã khu vực")</f>
        <v>35000</v>
      </c>
      <c r="E86" s="5">
        <v>37</v>
      </c>
      <c r="F86" s="4" t="s">
        <v>21</v>
      </c>
    </row>
    <row r="87" spans="1:6" x14ac:dyDescent="0.35">
      <c r="A87" s="1" t="s">
        <v>108</v>
      </c>
      <c r="B87" s="1" t="s">
        <v>13</v>
      </c>
      <c r="C87" s="7">
        <v>4</v>
      </c>
      <c r="D87" s="3">
        <f>IFERROR(VLOOKUP(TRIM(B87), GiaCuoc_Master!$A$2:$C$7, 3, FALSE), "Lỗi mã khu vực")</f>
        <v>75000</v>
      </c>
      <c r="E87" s="7">
        <v>70</v>
      </c>
      <c r="F87" s="1" t="s">
        <v>21</v>
      </c>
    </row>
    <row r="88" spans="1:6" x14ac:dyDescent="0.35">
      <c r="A88" s="4" t="s">
        <v>109</v>
      </c>
      <c r="B88" s="4" t="s">
        <v>9</v>
      </c>
      <c r="C88" s="5">
        <v>4</v>
      </c>
      <c r="D88" s="6">
        <f>IFERROR(VLOOKUP(TRIM(B88), GiaCuoc_Master!$A$2:$C$7, 3, FALSE), "Lỗi mã khu vực")</f>
        <v>40000</v>
      </c>
      <c r="E88" s="5">
        <v>84</v>
      </c>
      <c r="F88" s="4" t="s">
        <v>21</v>
      </c>
    </row>
    <row r="89" spans="1:6" x14ac:dyDescent="0.35">
      <c r="A89" s="1" t="s">
        <v>110</v>
      </c>
      <c r="B89" s="1" t="s">
        <v>13</v>
      </c>
      <c r="C89" s="7">
        <v>0.5</v>
      </c>
      <c r="D89" s="3">
        <f>IFERROR(VLOOKUP(TRIM(B89), GiaCuoc_Master!$A$2:$C$7, 3, FALSE), "Lỗi mã khu vực")</f>
        <v>75000</v>
      </c>
      <c r="E89" s="7">
        <v>111</v>
      </c>
      <c r="F89" s="1" t="s">
        <v>24</v>
      </c>
    </row>
    <row r="90" spans="1:6" x14ac:dyDescent="0.35">
      <c r="A90" s="4" t="s">
        <v>111</v>
      </c>
      <c r="B90" s="4" t="s">
        <v>13</v>
      </c>
      <c r="C90" s="5">
        <v>1</v>
      </c>
      <c r="D90" s="6">
        <f>IFERROR(VLOOKUP(TRIM(B90), GiaCuoc_Master!$A$2:$C$7, 3, FALSE), "Lỗi mã khu vực")</f>
        <v>75000</v>
      </c>
      <c r="E90" s="5">
        <v>32</v>
      </c>
      <c r="F90" s="4" t="s">
        <v>21</v>
      </c>
    </row>
    <row r="91" spans="1:6" x14ac:dyDescent="0.35">
      <c r="A91" s="1" t="s">
        <v>112</v>
      </c>
      <c r="B91" s="1" t="s">
        <v>9</v>
      </c>
      <c r="C91" s="7">
        <v>3</v>
      </c>
      <c r="D91" s="3">
        <f>IFERROR(VLOOKUP(TRIM(B91), GiaCuoc_Master!$A$2:$C$7, 3, FALSE), "Lỗi mã khu vực")</f>
        <v>40000</v>
      </c>
      <c r="E91" s="7">
        <v>38</v>
      </c>
      <c r="F91" s="1" t="s">
        <v>21</v>
      </c>
    </row>
    <row r="92" spans="1:6" x14ac:dyDescent="0.35">
      <c r="A92" s="4" t="s">
        <v>113</v>
      </c>
      <c r="B92" s="4" t="s">
        <v>5</v>
      </c>
      <c r="C92" s="5">
        <v>2</v>
      </c>
      <c r="D92" s="6">
        <f>IFERROR(VLOOKUP(TRIM(B92), GiaCuoc_Master!$A$2:$C$7, 3, FALSE), "Lỗi mã khu vực")</f>
        <v>35000</v>
      </c>
      <c r="E92" s="5">
        <v>49</v>
      </c>
      <c r="F92" s="4" t="s">
        <v>21</v>
      </c>
    </row>
    <row r="93" spans="1:6" x14ac:dyDescent="0.35">
      <c r="A93" s="1" t="s">
        <v>114</v>
      </c>
      <c r="B93" s="1" t="s">
        <v>11</v>
      </c>
      <c r="C93" s="7">
        <v>5</v>
      </c>
      <c r="D93" s="3">
        <f>IFERROR(VLOOKUP(TRIM(B93), GiaCuoc_Master!$A$2:$C$7, 3, FALSE), "Lỗi mã khu vực")</f>
        <v>55000</v>
      </c>
      <c r="E93" s="7">
        <v>42</v>
      </c>
      <c r="F93" s="1" t="s">
        <v>21</v>
      </c>
    </row>
    <row r="94" spans="1:6" x14ac:dyDescent="0.35">
      <c r="A94" s="4" t="s">
        <v>115</v>
      </c>
      <c r="B94" s="4" t="s">
        <v>9</v>
      </c>
      <c r="C94" s="5">
        <v>1.5</v>
      </c>
      <c r="D94" s="6">
        <f>IFERROR(VLOOKUP(TRIM(B94), GiaCuoc_Master!$A$2:$C$7, 3, FALSE), "Lỗi mã khu vực")</f>
        <v>40000</v>
      </c>
      <c r="E94" s="5">
        <v>60</v>
      </c>
      <c r="F94" s="4" t="s">
        <v>21</v>
      </c>
    </row>
    <row r="95" spans="1:6" x14ac:dyDescent="0.35">
      <c r="A95" s="1" t="s">
        <v>116</v>
      </c>
      <c r="B95" s="1" t="s">
        <v>9</v>
      </c>
      <c r="C95" s="7">
        <v>2</v>
      </c>
      <c r="D95" s="3">
        <f>IFERROR(VLOOKUP(TRIM(B95), GiaCuoc_Master!$A$2:$C$7, 3, FALSE), "Lỗi mã khu vực")</f>
        <v>40000</v>
      </c>
      <c r="E95" s="7">
        <v>34</v>
      </c>
      <c r="F95" s="1" t="s">
        <v>21</v>
      </c>
    </row>
    <row r="96" spans="1:6" x14ac:dyDescent="0.35">
      <c r="A96" s="4" t="s">
        <v>117</v>
      </c>
      <c r="B96" s="4" t="s">
        <v>9</v>
      </c>
      <c r="C96" s="5">
        <v>7.5</v>
      </c>
      <c r="D96" s="6">
        <f>IFERROR(VLOOKUP(TRIM(B96), GiaCuoc_Master!$A$2:$C$7, 3, FALSE), "Lỗi mã khu vực")</f>
        <v>40000</v>
      </c>
      <c r="E96" s="5">
        <v>37</v>
      </c>
      <c r="F96" s="4" t="s">
        <v>21</v>
      </c>
    </row>
    <row r="97" spans="1:6" x14ac:dyDescent="0.35">
      <c r="A97" s="1" t="s">
        <v>118</v>
      </c>
      <c r="B97" s="1" t="s">
        <v>3</v>
      </c>
      <c r="C97" s="7">
        <v>7.5</v>
      </c>
      <c r="D97" s="3">
        <f>IFERROR(VLOOKUP(TRIM(B97), GiaCuoc_Master!$A$2:$C$7, 3, FALSE), "Lỗi mã khu vực")</f>
        <v>22000</v>
      </c>
      <c r="E97" s="7">
        <v>26</v>
      </c>
      <c r="F97" s="1" t="s">
        <v>21</v>
      </c>
    </row>
    <row r="98" spans="1:6" x14ac:dyDescent="0.35">
      <c r="A98" s="4" t="s">
        <v>119</v>
      </c>
      <c r="B98" s="4" t="s">
        <v>3</v>
      </c>
      <c r="C98" s="5">
        <v>2</v>
      </c>
      <c r="D98" s="6">
        <f>IFERROR(VLOOKUP(TRIM(B98), GiaCuoc_Master!$A$2:$C$7, 3, FALSE), "Lỗi mã khu vực")</f>
        <v>22000</v>
      </c>
      <c r="E98" s="5">
        <v>46</v>
      </c>
      <c r="F98" s="4" t="s">
        <v>21</v>
      </c>
    </row>
    <row r="99" spans="1:6" x14ac:dyDescent="0.35">
      <c r="A99" s="1" t="s">
        <v>120</v>
      </c>
      <c r="B99" s="1" t="s">
        <v>9</v>
      </c>
      <c r="C99" s="7">
        <v>5</v>
      </c>
      <c r="D99" s="3">
        <f>IFERROR(VLOOKUP(TRIM(B99), GiaCuoc_Master!$A$2:$C$7, 3, FALSE), "Lỗi mã khu vực")</f>
        <v>40000</v>
      </c>
      <c r="E99" s="7">
        <v>86</v>
      </c>
      <c r="F99" s="1" t="s">
        <v>21</v>
      </c>
    </row>
    <row r="100" spans="1:6" x14ac:dyDescent="0.35">
      <c r="A100" s="4" t="s">
        <v>121</v>
      </c>
      <c r="B100" s="4" t="s">
        <v>5</v>
      </c>
      <c r="C100" s="5">
        <v>4</v>
      </c>
      <c r="D100" s="6">
        <f>IFERROR(VLOOKUP(TRIM(B100), GiaCuoc_Master!$A$2:$C$7, 3, FALSE), "Lỗi mã khu vực")</f>
        <v>35000</v>
      </c>
      <c r="E100" s="5">
        <v>32</v>
      </c>
      <c r="F100" s="4" t="s">
        <v>21</v>
      </c>
    </row>
    <row r="101" spans="1:6" x14ac:dyDescent="0.35">
      <c r="A101" s="1" t="s">
        <v>122</v>
      </c>
      <c r="B101" s="1" t="s">
        <v>123</v>
      </c>
      <c r="C101" s="7">
        <v>4</v>
      </c>
      <c r="D101" s="3">
        <f>IFERROR(VLOOKUP(TRIM(B101), GiaCuoc_Master!$A$2:$C$7, 3, FALSE), "Lỗi mã khu vực")</f>
        <v>22000</v>
      </c>
      <c r="E101" s="7">
        <v>25</v>
      </c>
      <c r="F101" s="1" t="s">
        <v>21</v>
      </c>
    </row>
    <row r="102" spans="1:6" x14ac:dyDescent="0.35">
      <c r="A102" s="4" t="s">
        <v>124</v>
      </c>
      <c r="B102" s="4" t="s">
        <v>9</v>
      </c>
      <c r="C102" s="5">
        <v>2.5</v>
      </c>
      <c r="D102" s="6">
        <f>IFERROR(VLOOKUP(TRIM(B102), GiaCuoc_Master!$A$2:$C$7, 3, FALSE), "Lỗi mã khu vực")</f>
        <v>40000</v>
      </c>
      <c r="E102" s="5">
        <v>83</v>
      </c>
      <c r="F102" s="4" t="s">
        <v>21</v>
      </c>
    </row>
    <row r="103" spans="1:6" x14ac:dyDescent="0.35">
      <c r="A103" s="1" t="s">
        <v>125</v>
      </c>
      <c r="B103" s="1" t="s">
        <v>7</v>
      </c>
      <c r="C103" s="7">
        <v>4</v>
      </c>
      <c r="D103" s="3">
        <f>IFERROR(VLOOKUP(TRIM(B103), GiaCuoc_Master!$A$2:$C$7, 3, FALSE), "Lỗi mã khu vực")</f>
        <v>25000</v>
      </c>
      <c r="E103" s="7">
        <v>114</v>
      </c>
      <c r="F103" s="1" t="s">
        <v>24</v>
      </c>
    </row>
    <row r="104" spans="1:6" x14ac:dyDescent="0.35">
      <c r="A104" s="4" t="s">
        <v>126</v>
      </c>
      <c r="B104" s="4" t="s">
        <v>13</v>
      </c>
      <c r="C104" s="5">
        <v>7.5</v>
      </c>
      <c r="D104" s="6">
        <f>IFERROR(VLOOKUP(TRIM(B104), GiaCuoc_Master!$A$2:$C$7, 3, FALSE), "Lỗi mã khu vực")</f>
        <v>75000</v>
      </c>
      <c r="E104" s="5">
        <v>109</v>
      </c>
      <c r="F104" s="4" t="s">
        <v>24</v>
      </c>
    </row>
    <row r="105" spans="1:6" x14ac:dyDescent="0.35">
      <c r="A105" s="1" t="s">
        <v>127</v>
      </c>
      <c r="B105" s="1" t="s">
        <v>13</v>
      </c>
      <c r="C105" s="7">
        <v>5</v>
      </c>
      <c r="D105" s="3">
        <f>IFERROR(VLOOKUP(TRIM(B105), GiaCuoc_Master!$A$2:$C$7, 3, FALSE), "Lỗi mã khu vực")</f>
        <v>75000</v>
      </c>
      <c r="E105" s="7">
        <v>44</v>
      </c>
      <c r="F105" s="1" t="s">
        <v>21</v>
      </c>
    </row>
    <row r="106" spans="1:6" x14ac:dyDescent="0.35">
      <c r="A106" s="4" t="s">
        <v>128</v>
      </c>
      <c r="B106" s="4" t="s">
        <v>5</v>
      </c>
      <c r="C106" s="5">
        <v>2.5</v>
      </c>
      <c r="D106" s="6">
        <f>IFERROR(VLOOKUP(TRIM(B106), GiaCuoc_Master!$A$2:$C$7, 3, FALSE), "Lỗi mã khu vực")</f>
        <v>35000</v>
      </c>
      <c r="E106" s="5">
        <v>52</v>
      </c>
      <c r="F106" s="4" t="s">
        <v>21</v>
      </c>
    </row>
    <row r="107" spans="1:6" x14ac:dyDescent="0.35">
      <c r="A107" s="1" t="s">
        <v>129</v>
      </c>
      <c r="B107" s="1" t="s">
        <v>3</v>
      </c>
      <c r="C107" s="7">
        <v>10</v>
      </c>
      <c r="D107" s="3">
        <f>IFERROR(VLOOKUP(TRIM(B107), GiaCuoc_Master!$A$2:$C$7, 3, FALSE), "Lỗi mã khu vực")</f>
        <v>22000</v>
      </c>
      <c r="E107" s="7">
        <v>119</v>
      </c>
      <c r="F107" s="1" t="s">
        <v>24</v>
      </c>
    </row>
    <row r="108" spans="1:6" x14ac:dyDescent="0.35">
      <c r="A108" s="4" t="s">
        <v>130</v>
      </c>
      <c r="B108" s="4" t="s">
        <v>11</v>
      </c>
      <c r="C108" s="5">
        <v>0.5</v>
      </c>
      <c r="D108" s="6">
        <f>IFERROR(VLOOKUP(TRIM(B108), GiaCuoc_Master!$A$2:$C$7, 3, FALSE), "Lỗi mã khu vực")</f>
        <v>55000</v>
      </c>
      <c r="E108" s="5">
        <v>120</v>
      </c>
      <c r="F108" s="4" t="s">
        <v>24</v>
      </c>
    </row>
    <row r="109" spans="1:6" x14ac:dyDescent="0.35">
      <c r="A109" s="1" t="s">
        <v>131</v>
      </c>
      <c r="B109" s="1" t="s">
        <v>7</v>
      </c>
      <c r="C109" s="7">
        <v>0.5</v>
      </c>
      <c r="D109" s="3">
        <f>IFERROR(VLOOKUP(TRIM(B109), GiaCuoc_Master!$A$2:$C$7, 3, FALSE), "Lỗi mã khu vực")</f>
        <v>25000</v>
      </c>
      <c r="E109" s="7">
        <v>31</v>
      </c>
      <c r="F109" s="1" t="s">
        <v>21</v>
      </c>
    </row>
    <row r="110" spans="1:6" x14ac:dyDescent="0.35">
      <c r="A110" s="4" t="s">
        <v>132</v>
      </c>
      <c r="B110" s="4" t="s">
        <v>11</v>
      </c>
      <c r="C110" s="5">
        <v>5</v>
      </c>
      <c r="D110" s="6">
        <f>IFERROR(VLOOKUP(TRIM(B110), GiaCuoc_Master!$A$2:$C$7, 3, FALSE), "Lỗi mã khu vực")</f>
        <v>55000</v>
      </c>
      <c r="E110" s="5">
        <v>89</v>
      </c>
      <c r="F110" s="4" t="s">
        <v>21</v>
      </c>
    </row>
    <row r="111" spans="1:6" x14ac:dyDescent="0.35">
      <c r="A111" s="1" t="s">
        <v>133</v>
      </c>
      <c r="B111" s="1" t="s">
        <v>11</v>
      </c>
      <c r="C111" s="7">
        <v>1.5</v>
      </c>
      <c r="D111" s="3">
        <f>IFERROR(VLOOKUP(TRIM(B111), GiaCuoc_Master!$A$2:$C$7, 3, FALSE), "Lỗi mã khu vực")</f>
        <v>55000</v>
      </c>
      <c r="E111" s="7">
        <v>32</v>
      </c>
      <c r="F111" s="1" t="s">
        <v>21</v>
      </c>
    </row>
    <row r="112" spans="1:6" x14ac:dyDescent="0.35">
      <c r="A112" s="4" t="s">
        <v>134</v>
      </c>
      <c r="B112" s="4" t="s">
        <v>11</v>
      </c>
      <c r="C112" s="5">
        <v>1</v>
      </c>
      <c r="D112" s="6">
        <f>IFERROR(VLOOKUP(TRIM(B112), GiaCuoc_Master!$A$2:$C$7, 3, FALSE), "Lỗi mã khu vực")</f>
        <v>55000</v>
      </c>
      <c r="E112" s="5">
        <v>48</v>
      </c>
      <c r="F112" s="4" t="s">
        <v>21</v>
      </c>
    </row>
    <row r="113" spans="1:6" x14ac:dyDescent="0.35">
      <c r="A113" s="1" t="s">
        <v>135</v>
      </c>
      <c r="B113" s="1" t="s">
        <v>3</v>
      </c>
      <c r="C113" s="7">
        <v>10</v>
      </c>
      <c r="D113" s="3">
        <f>IFERROR(VLOOKUP(TRIM(B113), GiaCuoc_Master!$A$2:$C$7, 3, FALSE), "Lỗi mã khu vực")</f>
        <v>22000</v>
      </c>
      <c r="E113" s="7">
        <v>33</v>
      </c>
      <c r="F113" s="1" t="s">
        <v>21</v>
      </c>
    </row>
    <row r="114" spans="1:6" x14ac:dyDescent="0.35">
      <c r="A114" s="4" t="s">
        <v>136</v>
      </c>
      <c r="B114" s="4" t="s">
        <v>13</v>
      </c>
      <c r="C114" s="5">
        <v>2</v>
      </c>
      <c r="D114" s="6">
        <f>IFERROR(VLOOKUP(TRIM(B114), GiaCuoc_Master!$A$2:$C$7, 3, FALSE), "Lỗi mã khu vực")</f>
        <v>75000</v>
      </c>
      <c r="E114" s="5">
        <v>76</v>
      </c>
      <c r="F114" s="4" t="s">
        <v>21</v>
      </c>
    </row>
    <row r="115" spans="1:6" x14ac:dyDescent="0.35">
      <c r="A115" s="1" t="s">
        <v>137</v>
      </c>
      <c r="B115" s="1" t="s">
        <v>3</v>
      </c>
      <c r="C115" s="7">
        <v>10</v>
      </c>
      <c r="D115" s="3">
        <f>IFERROR(VLOOKUP(TRIM(B115), GiaCuoc_Master!$A$2:$C$7, 3, FALSE), "Lỗi mã khu vực")</f>
        <v>22000</v>
      </c>
      <c r="E115" s="7">
        <v>56</v>
      </c>
      <c r="F115" s="1" t="s">
        <v>21</v>
      </c>
    </row>
    <row r="116" spans="1:6" x14ac:dyDescent="0.35">
      <c r="A116" s="4" t="s">
        <v>138</v>
      </c>
      <c r="B116" s="4" t="s">
        <v>11</v>
      </c>
      <c r="C116" s="5">
        <v>10</v>
      </c>
      <c r="D116" s="6">
        <f>IFERROR(VLOOKUP(TRIM(B116), GiaCuoc_Master!$A$2:$C$7, 3, FALSE), "Lỗi mã khu vực")</f>
        <v>55000</v>
      </c>
      <c r="E116" s="5">
        <v>30</v>
      </c>
      <c r="F116" s="4" t="s">
        <v>21</v>
      </c>
    </row>
    <row r="117" spans="1:6" x14ac:dyDescent="0.35">
      <c r="A117" s="1" t="s">
        <v>139</v>
      </c>
      <c r="B117" s="1" t="s">
        <v>11</v>
      </c>
      <c r="C117" s="7">
        <v>1</v>
      </c>
      <c r="D117" s="3">
        <f>IFERROR(VLOOKUP(TRIM(B117), GiaCuoc_Master!$A$2:$C$7, 3, FALSE), "Lỗi mã khu vực")</f>
        <v>55000</v>
      </c>
      <c r="E117" s="7">
        <v>78</v>
      </c>
      <c r="F117" s="1" t="s">
        <v>21</v>
      </c>
    </row>
    <row r="118" spans="1:6" x14ac:dyDescent="0.35">
      <c r="A118" s="4" t="s">
        <v>140</v>
      </c>
      <c r="B118" s="4" t="s">
        <v>13</v>
      </c>
      <c r="C118" s="5">
        <v>10</v>
      </c>
      <c r="D118" s="6">
        <f>IFERROR(VLOOKUP(TRIM(B118), GiaCuoc_Master!$A$2:$C$7, 3, FALSE), "Lỗi mã khu vực")</f>
        <v>75000</v>
      </c>
      <c r="E118" s="5">
        <v>97</v>
      </c>
      <c r="F118" s="4" t="s">
        <v>24</v>
      </c>
    </row>
    <row r="119" spans="1:6" x14ac:dyDescent="0.35">
      <c r="A119" s="1" t="s">
        <v>141</v>
      </c>
      <c r="B119" s="1" t="s">
        <v>11</v>
      </c>
      <c r="C119" s="7">
        <v>3</v>
      </c>
      <c r="D119" s="3">
        <f>IFERROR(VLOOKUP(TRIM(B119), GiaCuoc_Master!$A$2:$C$7, 3, FALSE), "Lỗi mã khu vực")</f>
        <v>55000</v>
      </c>
      <c r="E119" s="7">
        <v>58</v>
      </c>
      <c r="F119" s="1" t="s">
        <v>21</v>
      </c>
    </row>
    <row r="120" spans="1:6" x14ac:dyDescent="0.35">
      <c r="A120" s="4" t="s">
        <v>142</v>
      </c>
      <c r="B120" s="4" t="s">
        <v>5</v>
      </c>
      <c r="C120" s="5">
        <v>3</v>
      </c>
      <c r="D120" s="6">
        <f>IFERROR(VLOOKUP(TRIM(B120), GiaCuoc_Master!$A$2:$C$7, 3, FALSE), "Lỗi mã khu vực")</f>
        <v>35000</v>
      </c>
      <c r="E120" s="5">
        <v>55</v>
      </c>
      <c r="F120" s="4" t="s">
        <v>21</v>
      </c>
    </row>
    <row r="121" spans="1:6" x14ac:dyDescent="0.35">
      <c r="A121" s="1" t="s">
        <v>143</v>
      </c>
      <c r="B121" s="1" t="s">
        <v>7</v>
      </c>
      <c r="C121" s="7">
        <v>4</v>
      </c>
      <c r="D121" s="3">
        <f>IFERROR(VLOOKUP(TRIM(B121), GiaCuoc_Master!$A$2:$C$7, 3, FALSE), "Lỗi mã khu vực")</f>
        <v>25000</v>
      </c>
      <c r="E121" s="7">
        <v>41</v>
      </c>
      <c r="F121" s="1" t="s">
        <v>21</v>
      </c>
    </row>
    <row r="122" spans="1:6" x14ac:dyDescent="0.35">
      <c r="A122" s="4" t="s">
        <v>144</v>
      </c>
      <c r="B122" s="4" t="s">
        <v>13</v>
      </c>
      <c r="C122" s="5">
        <v>2.5</v>
      </c>
      <c r="D122" s="6">
        <f>IFERROR(VLOOKUP(TRIM(B122), GiaCuoc_Master!$A$2:$C$7, 3, FALSE), "Lỗi mã khu vực")</f>
        <v>75000</v>
      </c>
      <c r="E122" s="5">
        <v>83</v>
      </c>
      <c r="F122" s="4" t="s">
        <v>21</v>
      </c>
    </row>
    <row r="123" spans="1:6" x14ac:dyDescent="0.35">
      <c r="A123" s="1" t="s">
        <v>145</v>
      </c>
      <c r="B123" s="1" t="s">
        <v>7</v>
      </c>
      <c r="C123" s="7">
        <v>1</v>
      </c>
      <c r="D123" s="3">
        <f>IFERROR(VLOOKUP(TRIM(B123), GiaCuoc_Master!$A$2:$C$7, 3, FALSE), "Lỗi mã khu vực")</f>
        <v>25000</v>
      </c>
      <c r="E123" s="7">
        <v>26</v>
      </c>
      <c r="F123" s="1" t="s">
        <v>21</v>
      </c>
    </row>
    <row r="124" spans="1:6" x14ac:dyDescent="0.35">
      <c r="A124" s="4" t="s">
        <v>146</v>
      </c>
      <c r="B124" s="4" t="s">
        <v>9</v>
      </c>
      <c r="C124" s="5">
        <v>10</v>
      </c>
      <c r="D124" s="6">
        <f>IFERROR(VLOOKUP(TRIM(B124), GiaCuoc_Master!$A$2:$C$7, 3, FALSE), "Lỗi mã khu vực")</f>
        <v>40000</v>
      </c>
      <c r="E124" s="5">
        <v>97</v>
      </c>
      <c r="F124" s="4" t="s">
        <v>24</v>
      </c>
    </row>
    <row r="125" spans="1:6" x14ac:dyDescent="0.35">
      <c r="A125" s="1" t="s">
        <v>147</v>
      </c>
      <c r="B125" s="1" t="s">
        <v>3</v>
      </c>
      <c r="C125" s="7">
        <v>1</v>
      </c>
      <c r="D125" s="3">
        <f>IFERROR(VLOOKUP(TRIM(B125), GiaCuoc_Master!$A$2:$C$7, 3, FALSE), "Lỗi mã khu vực")</f>
        <v>22000</v>
      </c>
      <c r="E125" s="7">
        <v>93</v>
      </c>
      <c r="F125" s="1" t="s">
        <v>24</v>
      </c>
    </row>
    <row r="126" spans="1:6" x14ac:dyDescent="0.35">
      <c r="A126" s="4" t="s">
        <v>148</v>
      </c>
      <c r="B126" s="4" t="s">
        <v>5</v>
      </c>
      <c r="C126" s="5">
        <v>7.5</v>
      </c>
      <c r="D126" s="6">
        <f>IFERROR(VLOOKUP(TRIM(B126), GiaCuoc_Master!$A$2:$C$7, 3, FALSE), "Lỗi mã khu vực")</f>
        <v>35000</v>
      </c>
      <c r="E126" s="5">
        <v>58</v>
      </c>
      <c r="F126" s="4" t="s">
        <v>21</v>
      </c>
    </row>
    <row r="127" spans="1:6" x14ac:dyDescent="0.35">
      <c r="A127" s="1" t="s">
        <v>149</v>
      </c>
      <c r="B127" s="1" t="s">
        <v>5</v>
      </c>
      <c r="C127" s="7">
        <v>3</v>
      </c>
      <c r="D127" s="3">
        <f>IFERROR(VLOOKUP(TRIM(B127), GiaCuoc_Master!$A$2:$C$7, 3, FALSE), "Lỗi mã khu vực")</f>
        <v>35000</v>
      </c>
      <c r="E127" s="7">
        <v>33</v>
      </c>
      <c r="F127" s="1" t="s">
        <v>21</v>
      </c>
    </row>
    <row r="128" spans="1:6" x14ac:dyDescent="0.35">
      <c r="A128" s="4" t="s">
        <v>150</v>
      </c>
      <c r="B128" s="4" t="s">
        <v>5</v>
      </c>
      <c r="C128" s="5">
        <v>3</v>
      </c>
      <c r="D128" s="6">
        <f>IFERROR(VLOOKUP(TRIM(B128), GiaCuoc_Master!$A$2:$C$7, 3, FALSE), "Lỗi mã khu vực")</f>
        <v>35000</v>
      </c>
      <c r="E128" s="5">
        <v>61</v>
      </c>
      <c r="F128" s="4" t="s">
        <v>21</v>
      </c>
    </row>
    <row r="129" spans="1:6" x14ac:dyDescent="0.35">
      <c r="A129" s="1" t="s">
        <v>151</v>
      </c>
      <c r="B129" s="1" t="s">
        <v>5</v>
      </c>
      <c r="C129" s="7">
        <v>5</v>
      </c>
      <c r="D129" s="3">
        <f>IFERROR(VLOOKUP(TRIM(B129), GiaCuoc_Master!$A$2:$C$7, 3, FALSE), "Lỗi mã khu vực")</f>
        <v>35000</v>
      </c>
      <c r="E129" s="7">
        <v>94</v>
      </c>
      <c r="F129" s="1" t="s">
        <v>24</v>
      </c>
    </row>
    <row r="130" spans="1:6" x14ac:dyDescent="0.35">
      <c r="A130" s="4" t="s">
        <v>152</v>
      </c>
      <c r="B130" s="4" t="s">
        <v>13</v>
      </c>
      <c r="C130" s="5">
        <v>2.5</v>
      </c>
      <c r="D130" s="6">
        <f>IFERROR(VLOOKUP(TRIM(B130), GiaCuoc_Master!$A$2:$C$7, 3, FALSE), "Lỗi mã khu vực")</f>
        <v>75000</v>
      </c>
      <c r="E130" s="5">
        <v>103</v>
      </c>
      <c r="F130" s="4" t="s">
        <v>24</v>
      </c>
    </row>
    <row r="131" spans="1:6" x14ac:dyDescent="0.35">
      <c r="A131" s="1" t="s">
        <v>153</v>
      </c>
      <c r="B131" s="1" t="s">
        <v>13</v>
      </c>
      <c r="C131" s="7">
        <v>7.5</v>
      </c>
      <c r="D131" s="3">
        <f>IFERROR(VLOOKUP(TRIM(B131), GiaCuoc_Master!$A$2:$C$7, 3, FALSE), "Lỗi mã khu vực")</f>
        <v>75000</v>
      </c>
      <c r="E131" s="7">
        <v>26</v>
      </c>
      <c r="F131" s="1" t="s">
        <v>21</v>
      </c>
    </row>
    <row r="132" spans="1:6" x14ac:dyDescent="0.35">
      <c r="A132" s="4" t="s">
        <v>154</v>
      </c>
      <c r="B132" s="4" t="s">
        <v>13</v>
      </c>
      <c r="C132" s="5">
        <v>7.5</v>
      </c>
      <c r="D132" s="6">
        <f>IFERROR(VLOOKUP(TRIM(B132), GiaCuoc_Master!$A$2:$C$7, 3, FALSE), "Lỗi mã khu vực")</f>
        <v>75000</v>
      </c>
      <c r="E132" s="5">
        <v>63</v>
      </c>
      <c r="F132" s="4" t="s">
        <v>21</v>
      </c>
    </row>
    <row r="133" spans="1:6" x14ac:dyDescent="0.35">
      <c r="A133" s="1" t="s">
        <v>155</v>
      </c>
      <c r="B133" s="1" t="s">
        <v>13</v>
      </c>
      <c r="C133" s="7">
        <v>1</v>
      </c>
      <c r="D133" s="3">
        <f>IFERROR(VLOOKUP(TRIM(B133), GiaCuoc_Master!$A$2:$C$7, 3, FALSE), "Lỗi mã khu vực")</f>
        <v>75000</v>
      </c>
      <c r="E133" s="7">
        <v>42</v>
      </c>
      <c r="F133" s="1" t="s">
        <v>21</v>
      </c>
    </row>
    <row r="134" spans="1:6" x14ac:dyDescent="0.35">
      <c r="A134" s="4" t="s">
        <v>156</v>
      </c>
      <c r="B134" s="4" t="s">
        <v>7</v>
      </c>
      <c r="C134" s="5">
        <v>1</v>
      </c>
      <c r="D134" s="6">
        <f>IFERROR(VLOOKUP(TRIM(B134), GiaCuoc_Master!$A$2:$C$7, 3, FALSE), "Lỗi mã khu vực")</f>
        <v>25000</v>
      </c>
      <c r="E134" s="5">
        <v>38</v>
      </c>
      <c r="F134" s="4" t="s">
        <v>21</v>
      </c>
    </row>
    <row r="135" spans="1:6" x14ac:dyDescent="0.35">
      <c r="A135" s="1" t="s">
        <v>157</v>
      </c>
      <c r="B135" s="1" t="s">
        <v>13</v>
      </c>
      <c r="C135" s="7">
        <v>7.5</v>
      </c>
      <c r="D135" s="3">
        <f>IFERROR(VLOOKUP(TRIM(B135), GiaCuoc_Master!$A$2:$C$7, 3, FALSE), "Lỗi mã khu vực")</f>
        <v>75000</v>
      </c>
      <c r="E135" s="7">
        <v>44</v>
      </c>
      <c r="F135" s="1" t="s">
        <v>21</v>
      </c>
    </row>
    <row r="136" spans="1:6" x14ac:dyDescent="0.35">
      <c r="A136" s="4" t="s">
        <v>158</v>
      </c>
      <c r="B136" s="4" t="s">
        <v>7</v>
      </c>
      <c r="C136" s="5">
        <v>2.5</v>
      </c>
      <c r="D136" s="6">
        <f>IFERROR(VLOOKUP(TRIM(B136), GiaCuoc_Master!$A$2:$C$7, 3, FALSE), "Lỗi mã khu vực")</f>
        <v>25000</v>
      </c>
      <c r="E136" s="5">
        <v>102</v>
      </c>
      <c r="F136" s="4" t="s">
        <v>24</v>
      </c>
    </row>
    <row r="137" spans="1:6" x14ac:dyDescent="0.35">
      <c r="A137" s="1" t="s">
        <v>159</v>
      </c>
      <c r="B137" s="1" t="s">
        <v>5</v>
      </c>
      <c r="C137" s="7">
        <v>3</v>
      </c>
      <c r="D137" s="3">
        <f>IFERROR(VLOOKUP(TRIM(B137), GiaCuoc_Master!$A$2:$C$7, 3, FALSE), "Lỗi mã khu vực")</f>
        <v>35000</v>
      </c>
      <c r="E137" s="7">
        <v>51</v>
      </c>
      <c r="F137" s="1" t="s">
        <v>21</v>
      </c>
    </row>
    <row r="138" spans="1:6" x14ac:dyDescent="0.35">
      <c r="A138" s="4" t="s">
        <v>160</v>
      </c>
      <c r="B138" s="4" t="s">
        <v>13</v>
      </c>
      <c r="C138" s="5">
        <v>2.5</v>
      </c>
      <c r="D138" s="6">
        <f>IFERROR(VLOOKUP(TRIM(B138), GiaCuoc_Master!$A$2:$C$7, 3, FALSE), "Lỗi mã khu vực")</f>
        <v>75000</v>
      </c>
      <c r="E138" s="5">
        <v>89</v>
      </c>
      <c r="F138" s="4" t="s">
        <v>21</v>
      </c>
    </row>
    <row r="139" spans="1:6" x14ac:dyDescent="0.35">
      <c r="A139" s="1" t="s">
        <v>161</v>
      </c>
      <c r="B139" s="1" t="s">
        <v>9</v>
      </c>
      <c r="C139" s="7">
        <v>2.5</v>
      </c>
      <c r="D139" s="3">
        <f>IFERROR(VLOOKUP(TRIM(B139), GiaCuoc_Master!$A$2:$C$7, 3, FALSE), "Lỗi mã khu vực")</f>
        <v>40000</v>
      </c>
      <c r="E139" s="7">
        <v>31</v>
      </c>
      <c r="F139" s="1" t="s">
        <v>21</v>
      </c>
    </row>
    <row r="140" spans="1:6" x14ac:dyDescent="0.35">
      <c r="A140" s="4" t="s">
        <v>162</v>
      </c>
      <c r="B140" s="4" t="s">
        <v>3</v>
      </c>
      <c r="C140" s="5">
        <v>4</v>
      </c>
      <c r="D140" s="6">
        <f>IFERROR(VLOOKUP(TRIM(B140), GiaCuoc_Master!$A$2:$C$7, 3, FALSE), "Lỗi mã khu vực")</f>
        <v>22000</v>
      </c>
      <c r="E140" s="5">
        <v>60</v>
      </c>
      <c r="F140" s="4" t="s">
        <v>21</v>
      </c>
    </row>
    <row r="141" spans="1:6" x14ac:dyDescent="0.35">
      <c r="A141" s="1" t="s">
        <v>163</v>
      </c>
      <c r="B141" s="1" t="s">
        <v>3</v>
      </c>
      <c r="C141" s="7">
        <v>0.5</v>
      </c>
      <c r="D141" s="3">
        <f>IFERROR(VLOOKUP(TRIM(B141), GiaCuoc_Master!$A$2:$C$7, 3, FALSE), "Lỗi mã khu vực")</f>
        <v>22000</v>
      </c>
      <c r="E141" s="7">
        <v>67</v>
      </c>
      <c r="F141" s="1" t="s">
        <v>21</v>
      </c>
    </row>
    <row r="142" spans="1:6" x14ac:dyDescent="0.35">
      <c r="A142" s="4" t="s">
        <v>164</v>
      </c>
      <c r="B142" s="4" t="s">
        <v>5</v>
      </c>
      <c r="C142" s="5">
        <v>2.5</v>
      </c>
      <c r="D142" s="6">
        <f>IFERROR(VLOOKUP(TRIM(B142), GiaCuoc_Master!$A$2:$C$7, 3, FALSE), "Lỗi mã khu vực")</f>
        <v>35000</v>
      </c>
      <c r="E142" s="5">
        <v>45</v>
      </c>
      <c r="F142" s="4" t="s">
        <v>21</v>
      </c>
    </row>
    <row r="143" spans="1:6" x14ac:dyDescent="0.35">
      <c r="A143" s="1" t="s">
        <v>165</v>
      </c>
      <c r="B143" s="1" t="s">
        <v>13</v>
      </c>
      <c r="C143" s="7">
        <v>5</v>
      </c>
      <c r="D143" s="3">
        <f>IFERROR(VLOOKUP(TRIM(B143), GiaCuoc_Master!$A$2:$C$7, 3, FALSE), "Lỗi mã khu vực")</f>
        <v>75000</v>
      </c>
      <c r="E143" s="7">
        <v>95</v>
      </c>
      <c r="F143" s="1" t="s">
        <v>24</v>
      </c>
    </row>
    <row r="144" spans="1:6" x14ac:dyDescent="0.35">
      <c r="A144" s="4" t="s">
        <v>166</v>
      </c>
      <c r="B144" s="4" t="s">
        <v>13</v>
      </c>
      <c r="C144" s="5">
        <v>4</v>
      </c>
      <c r="D144" s="6">
        <f>IFERROR(VLOOKUP(TRIM(B144), GiaCuoc_Master!$A$2:$C$7, 3, FALSE), "Lỗi mã khu vực")</f>
        <v>75000</v>
      </c>
      <c r="E144" s="5">
        <v>96</v>
      </c>
      <c r="F144" s="4" t="s">
        <v>24</v>
      </c>
    </row>
    <row r="145" spans="1:6" x14ac:dyDescent="0.35">
      <c r="A145" s="1" t="s">
        <v>167</v>
      </c>
      <c r="B145" s="1" t="s">
        <v>3</v>
      </c>
      <c r="C145" s="7">
        <v>1</v>
      </c>
      <c r="D145" s="3">
        <f>IFERROR(VLOOKUP(TRIM(B145), GiaCuoc_Master!$A$2:$C$7, 3, FALSE), "Lỗi mã khu vực")</f>
        <v>22000</v>
      </c>
      <c r="E145" s="7">
        <v>34</v>
      </c>
      <c r="F145" s="1" t="s">
        <v>21</v>
      </c>
    </row>
    <row r="146" spans="1:6" x14ac:dyDescent="0.35">
      <c r="A146" s="4" t="s">
        <v>168</v>
      </c>
      <c r="B146" s="4" t="s">
        <v>13</v>
      </c>
      <c r="C146" s="5">
        <v>1.5</v>
      </c>
      <c r="D146" s="6">
        <f>IFERROR(VLOOKUP(TRIM(B146), GiaCuoc_Master!$A$2:$C$7, 3, FALSE), "Lỗi mã khu vực")</f>
        <v>75000</v>
      </c>
      <c r="E146" s="5">
        <v>94</v>
      </c>
      <c r="F146" s="4" t="s">
        <v>24</v>
      </c>
    </row>
    <row r="147" spans="1:6" x14ac:dyDescent="0.35">
      <c r="A147" s="1" t="s">
        <v>169</v>
      </c>
      <c r="B147" s="1" t="s">
        <v>3</v>
      </c>
      <c r="C147" s="7">
        <v>3</v>
      </c>
      <c r="D147" s="3">
        <f>IFERROR(VLOOKUP(TRIM(B147), GiaCuoc_Master!$A$2:$C$7, 3, FALSE), "Lỗi mã khu vực")</f>
        <v>22000</v>
      </c>
      <c r="E147" s="7">
        <v>99</v>
      </c>
      <c r="F147" s="1" t="s">
        <v>24</v>
      </c>
    </row>
    <row r="148" spans="1:6" x14ac:dyDescent="0.35">
      <c r="A148" s="4" t="s">
        <v>170</v>
      </c>
      <c r="B148" s="4" t="s">
        <v>11</v>
      </c>
      <c r="C148" s="5">
        <v>1.5</v>
      </c>
      <c r="D148" s="6">
        <f>IFERROR(VLOOKUP(TRIM(B148), GiaCuoc_Master!$A$2:$C$7, 3, FALSE), "Lỗi mã khu vực")</f>
        <v>55000</v>
      </c>
      <c r="E148" s="5">
        <v>80</v>
      </c>
      <c r="F148" s="4" t="s">
        <v>21</v>
      </c>
    </row>
    <row r="149" spans="1:6" x14ac:dyDescent="0.35">
      <c r="A149" s="1" t="s">
        <v>171</v>
      </c>
      <c r="B149" s="1" t="s">
        <v>5</v>
      </c>
      <c r="C149" s="7">
        <v>0.5</v>
      </c>
      <c r="D149" s="3">
        <f>IFERROR(VLOOKUP(TRIM(B149), GiaCuoc_Master!$A$2:$C$7, 3, FALSE), "Lỗi mã khu vực")</f>
        <v>35000</v>
      </c>
      <c r="E149" s="7">
        <v>64</v>
      </c>
      <c r="F149" s="1" t="s">
        <v>21</v>
      </c>
    </row>
    <row r="150" spans="1:6" x14ac:dyDescent="0.35">
      <c r="A150" s="4" t="s">
        <v>172</v>
      </c>
      <c r="B150" s="4" t="s">
        <v>7</v>
      </c>
      <c r="C150" s="5">
        <v>0.5</v>
      </c>
      <c r="D150" s="6">
        <f>IFERROR(VLOOKUP(TRIM(B150), GiaCuoc_Master!$A$2:$C$7, 3, FALSE), "Lỗi mã khu vực")</f>
        <v>25000</v>
      </c>
      <c r="E150" s="5">
        <v>70</v>
      </c>
      <c r="F150" s="4" t="s">
        <v>21</v>
      </c>
    </row>
    <row r="151" spans="1:6" x14ac:dyDescent="0.35">
      <c r="A151" s="1" t="s">
        <v>173</v>
      </c>
      <c r="B151" s="1" t="s">
        <v>5</v>
      </c>
      <c r="C151" s="7">
        <v>2</v>
      </c>
      <c r="D151" s="3">
        <f>IFERROR(VLOOKUP(TRIM(B151), GiaCuoc_Master!$A$2:$C$7, 3, FALSE), "Lỗi mã khu vực")</f>
        <v>35000</v>
      </c>
      <c r="E151" s="7">
        <v>110</v>
      </c>
      <c r="F151" s="1" t="s">
        <v>24</v>
      </c>
    </row>
    <row r="152" spans="1:6" x14ac:dyDescent="0.35">
      <c r="A152" s="4" t="s">
        <v>174</v>
      </c>
      <c r="B152" s="4" t="s">
        <v>3</v>
      </c>
      <c r="C152" s="5">
        <v>3</v>
      </c>
      <c r="D152" s="6">
        <f>IFERROR(VLOOKUP(TRIM(B152), GiaCuoc_Master!$A$2:$C$7, 3, FALSE), "Lỗi mã khu vực")</f>
        <v>22000</v>
      </c>
      <c r="E152" s="5">
        <v>96</v>
      </c>
      <c r="F152" s="4" t="s">
        <v>24</v>
      </c>
    </row>
    <row r="153" spans="1:6" x14ac:dyDescent="0.35">
      <c r="A153" s="1" t="s">
        <v>175</v>
      </c>
      <c r="B153" s="1" t="s">
        <v>9</v>
      </c>
      <c r="C153" s="7">
        <v>10</v>
      </c>
      <c r="D153" s="3">
        <f>IFERROR(VLOOKUP(TRIM(B153), GiaCuoc_Master!$A$2:$C$7, 3, FALSE), "Lỗi mã khu vực")</f>
        <v>40000</v>
      </c>
      <c r="E153" s="7">
        <v>120</v>
      </c>
      <c r="F153" s="1" t="s">
        <v>24</v>
      </c>
    </row>
    <row r="154" spans="1:6" x14ac:dyDescent="0.35">
      <c r="A154" s="4" t="s">
        <v>176</v>
      </c>
      <c r="B154" s="4" t="s">
        <v>5</v>
      </c>
      <c r="C154" s="5">
        <v>2</v>
      </c>
      <c r="D154" s="6">
        <f>IFERROR(VLOOKUP(TRIM(B154), GiaCuoc_Master!$A$2:$C$7, 3, FALSE), "Lỗi mã khu vực")</f>
        <v>35000</v>
      </c>
      <c r="E154" s="5">
        <v>45</v>
      </c>
      <c r="F154" s="4" t="s">
        <v>21</v>
      </c>
    </row>
    <row r="155" spans="1:6" x14ac:dyDescent="0.35">
      <c r="A155" s="1" t="s">
        <v>177</v>
      </c>
      <c r="B155" s="1" t="s">
        <v>5</v>
      </c>
      <c r="C155" s="7">
        <v>4</v>
      </c>
      <c r="D155" s="3">
        <f>IFERROR(VLOOKUP(TRIM(B155), GiaCuoc_Master!$A$2:$C$7, 3, FALSE), "Lỗi mã khu vực")</f>
        <v>35000</v>
      </c>
      <c r="E155" s="7">
        <v>28</v>
      </c>
      <c r="F155" s="1" t="s">
        <v>21</v>
      </c>
    </row>
    <row r="156" spans="1:6" x14ac:dyDescent="0.35">
      <c r="A156" s="4" t="s">
        <v>178</v>
      </c>
      <c r="B156" s="4" t="s">
        <v>5</v>
      </c>
      <c r="C156" s="5">
        <v>3</v>
      </c>
      <c r="D156" s="6">
        <f>IFERROR(VLOOKUP(TRIM(B156), GiaCuoc_Master!$A$2:$C$7, 3, FALSE), "Lỗi mã khu vực")</f>
        <v>35000</v>
      </c>
      <c r="E156" s="5">
        <v>77</v>
      </c>
      <c r="F156" s="4" t="s">
        <v>21</v>
      </c>
    </row>
    <row r="157" spans="1:6" x14ac:dyDescent="0.35">
      <c r="A157" s="1" t="s">
        <v>179</v>
      </c>
      <c r="B157" s="1" t="s">
        <v>13</v>
      </c>
      <c r="C157" s="7">
        <v>2</v>
      </c>
      <c r="D157" s="3">
        <f>IFERROR(VLOOKUP(TRIM(B157), GiaCuoc_Master!$A$2:$C$7, 3, FALSE), "Lỗi mã khu vực")</f>
        <v>75000</v>
      </c>
      <c r="E157" s="7">
        <v>59</v>
      </c>
      <c r="F157" s="1" t="s">
        <v>21</v>
      </c>
    </row>
    <row r="158" spans="1:6" x14ac:dyDescent="0.35">
      <c r="A158" s="4" t="s">
        <v>180</v>
      </c>
      <c r="B158" s="4" t="s">
        <v>5</v>
      </c>
      <c r="C158" s="5">
        <v>1</v>
      </c>
      <c r="D158" s="6">
        <f>IFERROR(VLOOKUP(TRIM(B158), GiaCuoc_Master!$A$2:$C$7, 3, FALSE), "Lỗi mã khu vực")</f>
        <v>35000</v>
      </c>
      <c r="E158" s="5">
        <v>73</v>
      </c>
      <c r="F158" s="4" t="s">
        <v>21</v>
      </c>
    </row>
    <row r="159" spans="1:6" x14ac:dyDescent="0.35">
      <c r="A159" s="1" t="s">
        <v>181</v>
      </c>
      <c r="B159" s="1" t="s">
        <v>3</v>
      </c>
      <c r="C159" s="7">
        <v>5</v>
      </c>
      <c r="D159" s="3">
        <f>IFERROR(VLOOKUP(TRIM(B159), GiaCuoc_Master!$A$2:$C$7, 3, FALSE), "Lỗi mã khu vực")</f>
        <v>22000</v>
      </c>
      <c r="E159" s="7">
        <v>53</v>
      </c>
      <c r="F159" s="1" t="s">
        <v>21</v>
      </c>
    </row>
    <row r="160" spans="1:6" x14ac:dyDescent="0.35">
      <c r="A160" s="4" t="s">
        <v>182</v>
      </c>
      <c r="B160" s="4" t="s">
        <v>5</v>
      </c>
      <c r="C160" s="5">
        <v>5</v>
      </c>
      <c r="D160" s="6">
        <f>IFERROR(VLOOKUP(TRIM(B160), GiaCuoc_Master!$A$2:$C$7, 3, FALSE), "Lỗi mã khu vực")</f>
        <v>35000</v>
      </c>
      <c r="E160" s="5">
        <v>69</v>
      </c>
      <c r="F160" s="4" t="s">
        <v>21</v>
      </c>
    </row>
    <row r="161" spans="1:6" x14ac:dyDescent="0.35">
      <c r="A161" s="1" t="s">
        <v>183</v>
      </c>
      <c r="B161" s="1" t="s">
        <v>7</v>
      </c>
      <c r="C161" s="7">
        <v>2</v>
      </c>
      <c r="D161" s="3">
        <f>IFERROR(VLOOKUP(TRIM(B161), GiaCuoc_Master!$A$2:$C$7, 3, FALSE), "Lỗi mã khu vực")</f>
        <v>25000</v>
      </c>
      <c r="E161" s="7">
        <v>53</v>
      </c>
      <c r="F161" s="1" t="s">
        <v>21</v>
      </c>
    </row>
    <row r="162" spans="1:6" x14ac:dyDescent="0.35">
      <c r="A162" s="4" t="s">
        <v>184</v>
      </c>
      <c r="B162" s="4" t="s">
        <v>3</v>
      </c>
      <c r="C162" s="5">
        <v>2</v>
      </c>
      <c r="D162" s="6">
        <f>IFERROR(VLOOKUP(TRIM(B162), GiaCuoc_Master!$A$2:$C$7, 3, FALSE), "Lỗi mã khu vực")</f>
        <v>22000</v>
      </c>
      <c r="E162" s="5">
        <v>76</v>
      </c>
      <c r="F162" s="4" t="s">
        <v>21</v>
      </c>
    </row>
    <row r="163" spans="1:6" x14ac:dyDescent="0.35">
      <c r="A163" s="1" t="s">
        <v>185</v>
      </c>
      <c r="B163" s="1" t="s">
        <v>7</v>
      </c>
      <c r="C163" s="7">
        <v>2.5</v>
      </c>
      <c r="D163" s="3">
        <f>IFERROR(VLOOKUP(TRIM(B163), GiaCuoc_Master!$A$2:$C$7, 3, FALSE), "Lỗi mã khu vực")</f>
        <v>25000</v>
      </c>
      <c r="E163" s="7">
        <v>33</v>
      </c>
      <c r="F163" s="1" t="s">
        <v>21</v>
      </c>
    </row>
    <row r="164" spans="1:6" x14ac:dyDescent="0.35">
      <c r="A164" s="4" t="s">
        <v>186</v>
      </c>
      <c r="B164" s="4" t="s">
        <v>7</v>
      </c>
      <c r="C164" s="5">
        <v>3</v>
      </c>
      <c r="D164" s="6">
        <f>IFERROR(VLOOKUP(TRIM(B164), GiaCuoc_Master!$A$2:$C$7, 3, FALSE), "Lỗi mã khu vực")</f>
        <v>25000</v>
      </c>
      <c r="E164" s="5">
        <v>107</v>
      </c>
      <c r="F164" s="4" t="s">
        <v>24</v>
      </c>
    </row>
    <row r="165" spans="1:6" x14ac:dyDescent="0.35">
      <c r="A165" s="1" t="s">
        <v>187</v>
      </c>
      <c r="B165" s="1" t="s">
        <v>11</v>
      </c>
      <c r="C165" s="7">
        <v>4</v>
      </c>
      <c r="D165" s="3">
        <f>IFERROR(VLOOKUP(TRIM(B165), GiaCuoc_Master!$A$2:$C$7, 3, FALSE), "Lỗi mã khu vực")</f>
        <v>55000</v>
      </c>
      <c r="E165" s="7">
        <v>111</v>
      </c>
      <c r="F165" s="1" t="s">
        <v>24</v>
      </c>
    </row>
    <row r="166" spans="1:6" x14ac:dyDescent="0.35">
      <c r="A166" s="4" t="s">
        <v>188</v>
      </c>
      <c r="B166" s="4" t="s">
        <v>11</v>
      </c>
      <c r="C166" s="5">
        <v>3</v>
      </c>
      <c r="D166" s="6">
        <f>IFERROR(VLOOKUP(TRIM(B166), GiaCuoc_Master!$A$2:$C$7, 3, FALSE), "Lỗi mã khu vực")</f>
        <v>55000</v>
      </c>
      <c r="E166" s="5">
        <v>28</v>
      </c>
      <c r="F166" s="4" t="s">
        <v>21</v>
      </c>
    </row>
    <row r="167" spans="1:6" x14ac:dyDescent="0.35">
      <c r="A167" s="1" t="s">
        <v>189</v>
      </c>
      <c r="B167" s="1" t="s">
        <v>3</v>
      </c>
      <c r="C167" s="7">
        <v>2.5</v>
      </c>
      <c r="D167" s="3">
        <f>IFERROR(VLOOKUP(TRIM(B167), GiaCuoc_Master!$A$2:$C$7, 3, FALSE), "Lỗi mã khu vực")</f>
        <v>22000</v>
      </c>
      <c r="E167" s="7">
        <v>47</v>
      </c>
      <c r="F167" s="1" t="s">
        <v>21</v>
      </c>
    </row>
    <row r="168" spans="1:6" x14ac:dyDescent="0.35">
      <c r="A168" s="4" t="s">
        <v>190</v>
      </c>
      <c r="B168" s="4" t="s">
        <v>11</v>
      </c>
      <c r="C168" s="5">
        <v>2.5</v>
      </c>
      <c r="D168" s="6">
        <f>IFERROR(VLOOKUP(TRIM(B168), GiaCuoc_Master!$A$2:$C$7, 3, FALSE), "Lỗi mã khu vực")</f>
        <v>55000</v>
      </c>
      <c r="E168" s="5">
        <v>29</v>
      </c>
      <c r="F168" s="4" t="s">
        <v>21</v>
      </c>
    </row>
    <row r="169" spans="1:6" x14ac:dyDescent="0.35">
      <c r="A169" s="1" t="s">
        <v>191</v>
      </c>
      <c r="B169" s="1" t="s">
        <v>3</v>
      </c>
      <c r="C169" s="7">
        <v>10</v>
      </c>
      <c r="D169" s="3">
        <f>IFERROR(VLOOKUP(TRIM(B169), GiaCuoc_Master!$A$2:$C$7, 3, FALSE), "Lỗi mã khu vực")</f>
        <v>22000</v>
      </c>
      <c r="E169" s="7">
        <v>80</v>
      </c>
      <c r="F169" s="1" t="s">
        <v>21</v>
      </c>
    </row>
    <row r="170" spans="1:6" x14ac:dyDescent="0.35">
      <c r="A170" s="4" t="s">
        <v>192</v>
      </c>
      <c r="B170" s="4" t="s">
        <v>7</v>
      </c>
      <c r="C170" s="5">
        <v>3</v>
      </c>
      <c r="D170" s="6">
        <f>IFERROR(VLOOKUP(TRIM(B170), GiaCuoc_Master!$A$2:$C$7, 3, FALSE), "Lỗi mã khu vực")</f>
        <v>25000</v>
      </c>
      <c r="E170" s="5">
        <v>80</v>
      </c>
      <c r="F170" s="4" t="s">
        <v>21</v>
      </c>
    </row>
    <row r="171" spans="1:6" x14ac:dyDescent="0.35">
      <c r="A171" s="1" t="s">
        <v>193</v>
      </c>
      <c r="B171" s="1" t="s">
        <v>11</v>
      </c>
      <c r="C171" s="7">
        <v>7.5</v>
      </c>
      <c r="D171" s="3">
        <f>IFERROR(VLOOKUP(TRIM(B171), GiaCuoc_Master!$A$2:$C$7, 3, FALSE), "Lỗi mã khu vực")</f>
        <v>55000</v>
      </c>
      <c r="E171" s="7">
        <v>39</v>
      </c>
      <c r="F171" s="1" t="s">
        <v>21</v>
      </c>
    </row>
    <row r="172" spans="1:6" x14ac:dyDescent="0.35">
      <c r="A172" s="4" t="s">
        <v>194</v>
      </c>
      <c r="B172" s="4" t="s">
        <v>9</v>
      </c>
      <c r="C172" s="5">
        <v>10</v>
      </c>
      <c r="D172" s="6">
        <f>IFERROR(VLOOKUP(TRIM(B172), GiaCuoc_Master!$A$2:$C$7, 3, FALSE), "Lỗi mã khu vực")</f>
        <v>40000</v>
      </c>
      <c r="E172" s="5">
        <v>49</v>
      </c>
      <c r="F172" s="4" t="s">
        <v>21</v>
      </c>
    </row>
    <row r="173" spans="1:6" x14ac:dyDescent="0.35">
      <c r="A173" s="1" t="s">
        <v>195</v>
      </c>
      <c r="B173" s="1" t="s">
        <v>7</v>
      </c>
      <c r="C173" s="7">
        <v>0.5</v>
      </c>
      <c r="D173" s="3">
        <f>IFERROR(VLOOKUP(TRIM(B173), GiaCuoc_Master!$A$2:$C$7, 3, FALSE), "Lỗi mã khu vực")</f>
        <v>25000</v>
      </c>
      <c r="E173" s="7">
        <v>115</v>
      </c>
      <c r="F173" s="1" t="s">
        <v>24</v>
      </c>
    </row>
    <row r="174" spans="1:6" x14ac:dyDescent="0.35">
      <c r="A174" s="4" t="s">
        <v>196</v>
      </c>
      <c r="B174" s="4" t="s">
        <v>9</v>
      </c>
      <c r="C174" s="5">
        <v>0.5</v>
      </c>
      <c r="D174" s="6">
        <f>IFERROR(VLOOKUP(TRIM(B174), GiaCuoc_Master!$A$2:$C$7, 3, FALSE), "Lỗi mã khu vực")</f>
        <v>40000</v>
      </c>
      <c r="E174" s="5">
        <v>91</v>
      </c>
      <c r="F174" s="4" t="s">
        <v>24</v>
      </c>
    </row>
    <row r="175" spans="1:6" x14ac:dyDescent="0.35">
      <c r="A175" s="1" t="s">
        <v>197</v>
      </c>
      <c r="B175" s="1" t="s">
        <v>11</v>
      </c>
      <c r="C175" s="7">
        <v>2</v>
      </c>
      <c r="D175" s="3">
        <f>IFERROR(VLOOKUP(TRIM(B175), GiaCuoc_Master!$A$2:$C$7, 3, FALSE), "Lỗi mã khu vực")</f>
        <v>55000</v>
      </c>
      <c r="E175" s="7">
        <v>71</v>
      </c>
      <c r="F175" s="1" t="s">
        <v>21</v>
      </c>
    </row>
    <row r="176" spans="1:6" x14ac:dyDescent="0.35">
      <c r="A176" s="4" t="s">
        <v>198</v>
      </c>
      <c r="B176" s="4" t="s">
        <v>9</v>
      </c>
      <c r="C176" s="5">
        <v>1</v>
      </c>
      <c r="D176" s="6">
        <f>IFERROR(VLOOKUP(TRIM(B176), GiaCuoc_Master!$A$2:$C$7, 3, FALSE), "Lỗi mã khu vực")</f>
        <v>40000</v>
      </c>
      <c r="E176" s="5">
        <v>110</v>
      </c>
      <c r="F176" s="4" t="s">
        <v>24</v>
      </c>
    </row>
    <row r="177" spans="1:6" x14ac:dyDescent="0.35">
      <c r="A177" s="1" t="s">
        <v>199</v>
      </c>
      <c r="B177" s="1" t="s">
        <v>7</v>
      </c>
      <c r="C177" s="7">
        <v>10</v>
      </c>
      <c r="D177" s="3">
        <f>IFERROR(VLOOKUP(TRIM(B177), GiaCuoc_Master!$A$2:$C$7, 3, FALSE), "Lỗi mã khu vực")</f>
        <v>25000</v>
      </c>
      <c r="E177" s="7">
        <v>65</v>
      </c>
      <c r="F177" s="1" t="s">
        <v>21</v>
      </c>
    </row>
    <row r="178" spans="1:6" x14ac:dyDescent="0.35">
      <c r="A178" s="4" t="s">
        <v>200</v>
      </c>
      <c r="B178" s="4" t="s">
        <v>13</v>
      </c>
      <c r="C178" s="5">
        <v>1</v>
      </c>
      <c r="D178" s="6">
        <f>IFERROR(VLOOKUP(TRIM(B178), GiaCuoc_Master!$A$2:$C$7, 3, FALSE), "Lỗi mã khu vực")</f>
        <v>75000</v>
      </c>
      <c r="E178" s="5">
        <v>117</v>
      </c>
      <c r="F178" s="4" t="s">
        <v>24</v>
      </c>
    </row>
    <row r="179" spans="1:6" x14ac:dyDescent="0.35">
      <c r="A179" s="1" t="s">
        <v>201</v>
      </c>
      <c r="B179" s="1" t="s">
        <v>7</v>
      </c>
      <c r="C179" s="7">
        <v>7.5</v>
      </c>
      <c r="D179" s="3">
        <f>IFERROR(VLOOKUP(TRIM(B179), GiaCuoc_Master!$A$2:$C$7, 3, FALSE), "Lỗi mã khu vực")</f>
        <v>25000</v>
      </c>
      <c r="E179" s="7">
        <v>64</v>
      </c>
      <c r="F179" s="1" t="s">
        <v>21</v>
      </c>
    </row>
    <row r="180" spans="1:6" x14ac:dyDescent="0.35">
      <c r="A180" s="4" t="s">
        <v>202</v>
      </c>
      <c r="B180" s="4" t="s">
        <v>13</v>
      </c>
      <c r="C180" s="5">
        <v>4</v>
      </c>
      <c r="D180" s="6">
        <f>IFERROR(VLOOKUP(TRIM(B180), GiaCuoc_Master!$A$2:$C$7, 3, FALSE), "Lỗi mã khu vực")</f>
        <v>75000</v>
      </c>
      <c r="E180" s="5">
        <v>66</v>
      </c>
      <c r="F180" s="4" t="s">
        <v>21</v>
      </c>
    </row>
    <row r="181" spans="1:6" x14ac:dyDescent="0.35">
      <c r="A181" s="1" t="s">
        <v>203</v>
      </c>
      <c r="B181" s="1" t="s">
        <v>9</v>
      </c>
      <c r="C181" s="7">
        <v>2.5</v>
      </c>
      <c r="D181" s="3">
        <f>IFERROR(VLOOKUP(TRIM(B181), GiaCuoc_Master!$A$2:$C$7, 3, FALSE), "Lỗi mã khu vực")</f>
        <v>40000</v>
      </c>
      <c r="E181" s="7">
        <v>95</v>
      </c>
      <c r="F181" s="1" t="s">
        <v>24</v>
      </c>
    </row>
    <row r="182" spans="1:6" x14ac:dyDescent="0.35">
      <c r="A182" s="4" t="s">
        <v>204</v>
      </c>
      <c r="B182" s="4" t="s">
        <v>5</v>
      </c>
      <c r="C182" s="5">
        <v>2</v>
      </c>
      <c r="D182" s="6">
        <f>IFERROR(VLOOKUP(TRIM(B182), GiaCuoc_Master!$A$2:$C$7, 3, FALSE), "Lỗi mã khu vực")</f>
        <v>35000</v>
      </c>
      <c r="E182" s="5">
        <v>78</v>
      </c>
      <c r="F182" s="4" t="s">
        <v>21</v>
      </c>
    </row>
    <row r="183" spans="1:6" x14ac:dyDescent="0.35">
      <c r="A183" s="1" t="s">
        <v>205</v>
      </c>
      <c r="B183" s="1" t="s">
        <v>13</v>
      </c>
      <c r="C183" s="7">
        <v>4</v>
      </c>
      <c r="D183" s="3">
        <f>IFERROR(VLOOKUP(TRIM(B183), GiaCuoc_Master!$A$2:$C$7, 3, FALSE), "Lỗi mã khu vực")</f>
        <v>75000</v>
      </c>
      <c r="E183" s="7">
        <v>111</v>
      </c>
      <c r="F183" s="1" t="s">
        <v>24</v>
      </c>
    </row>
    <row r="184" spans="1:6" x14ac:dyDescent="0.35">
      <c r="A184" s="4" t="s">
        <v>206</v>
      </c>
      <c r="B184" s="4" t="s">
        <v>13</v>
      </c>
      <c r="C184" s="5">
        <v>1.5</v>
      </c>
      <c r="D184" s="6">
        <f>IFERROR(VLOOKUP(TRIM(B184), GiaCuoc_Master!$A$2:$C$7, 3, FALSE), "Lỗi mã khu vực")</f>
        <v>75000</v>
      </c>
      <c r="E184" s="5">
        <v>103</v>
      </c>
      <c r="F184" s="4" t="s">
        <v>24</v>
      </c>
    </row>
    <row r="185" spans="1:6" x14ac:dyDescent="0.35">
      <c r="A185" s="1" t="s">
        <v>207</v>
      </c>
      <c r="B185" s="1" t="s">
        <v>11</v>
      </c>
      <c r="C185" s="7">
        <v>2.5</v>
      </c>
      <c r="D185" s="3">
        <f>IFERROR(VLOOKUP(TRIM(B185), GiaCuoc_Master!$A$2:$C$7, 3, FALSE), "Lỗi mã khu vực")</f>
        <v>55000</v>
      </c>
      <c r="E185" s="7">
        <v>76</v>
      </c>
      <c r="F185" s="1" t="s">
        <v>21</v>
      </c>
    </row>
    <row r="186" spans="1:6" x14ac:dyDescent="0.35">
      <c r="A186" s="4" t="s">
        <v>208</v>
      </c>
      <c r="B186" s="4" t="s">
        <v>11</v>
      </c>
      <c r="C186" s="5">
        <v>0.5</v>
      </c>
      <c r="D186" s="6">
        <f>IFERROR(VLOOKUP(TRIM(B186), GiaCuoc_Master!$A$2:$C$7, 3, FALSE), "Lỗi mã khu vực")</f>
        <v>55000</v>
      </c>
      <c r="E186" s="5">
        <v>63</v>
      </c>
      <c r="F186" s="4" t="s">
        <v>21</v>
      </c>
    </row>
    <row r="187" spans="1:6" x14ac:dyDescent="0.35">
      <c r="A187" s="1" t="s">
        <v>209</v>
      </c>
      <c r="B187" s="1" t="s">
        <v>7</v>
      </c>
      <c r="C187" s="7">
        <v>2</v>
      </c>
      <c r="D187" s="3">
        <f>IFERROR(VLOOKUP(TRIM(B187), GiaCuoc_Master!$A$2:$C$7, 3, FALSE), "Lỗi mã khu vực")</f>
        <v>25000</v>
      </c>
      <c r="E187" s="7">
        <v>80</v>
      </c>
      <c r="F187" s="1" t="s">
        <v>21</v>
      </c>
    </row>
    <row r="188" spans="1:6" x14ac:dyDescent="0.35">
      <c r="A188" s="4" t="s">
        <v>210</v>
      </c>
      <c r="B188" s="4" t="s">
        <v>11</v>
      </c>
      <c r="C188" s="5">
        <v>10</v>
      </c>
      <c r="D188" s="6">
        <f>IFERROR(VLOOKUP(TRIM(B188), GiaCuoc_Master!$A$2:$C$7, 3, FALSE), "Lỗi mã khu vực")</f>
        <v>55000</v>
      </c>
      <c r="E188" s="5">
        <v>108</v>
      </c>
      <c r="F188" s="4" t="s">
        <v>24</v>
      </c>
    </row>
    <row r="189" spans="1:6" x14ac:dyDescent="0.35">
      <c r="A189" s="1" t="s">
        <v>211</v>
      </c>
      <c r="B189" s="1" t="s">
        <v>7</v>
      </c>
      <c r="C189" s="7">
        <v>5</v>
      </c>
      <c r="D189" s="3">
        <f>IFERROR(VLOOKUP(TRIM(B189), GiaCuoc_Master!$A$2:$C$7, 3, FALSE), "Lỗi mã khu vực")</f>
        <v>25000</v>
      </c>
      <c r="E189" s="7">
        <v>81</v>
      </c>
      <c r="F189" s="1" t="s">
        <v>21</v>
      </c>
    </row>
    <row r="190" spans="1:6" x14ac:dyDescent="0.35">
      <c r="A190" s="4" t="s">
        <v>212</v>
      </c>
      <c r="B190" s="4" t="s">
        <v>9</v>
      </c>
      <c r="C190" s="5">
        <v>2</v>
      </c>
      <c r="D190" s="6">
        <f>IFERROR(VLOOKUP(TRIM(B190), GiaCuoc_Master!$A$2:$C$7, 3, FALSE), "Lỗi mã khu vực")</f>
        <v>40000</v>
      </c>
      <c r="E190" s="5">
        <v>90</v>
      </c>
      <c r="F190" s="4" t="s">
        <v>21</v>
      </c>
    </row>
    <row r="191" spans="1:6" x14ac:dyDescent="0.35">
      <c r="A191" s="1" t="s">
        <v>213</v>
      </c>
      <c r="B191" s="1" t="s">
        <v>9</v>
      </c>
      <c r="C191" s="7">
        <v>1.5</v>
      </c>
      <c r="D191" s="3">
        <f>IFERROR(VLOOKUP(TRIM(B191), GiaCuoc_Master!$A$2:$C$7, 3, FALSE), "Lỗi mã khu vực")</f>
        <v>40000</v>
      </c>
      <c r="E191" s="7">
        <v>109</v>
      </c>
      <c r="F191" s="1" t="s">
        <v>24</v>
      </c>
    </row>
    <row r="192" spans="1:6" x14ac:dyDescent="0.35">
      <c r="A192" s="4" t="s">
        <v>214</v>
      </c>
      <c r="B192" s="4" t="s">
        <v>3</v>
      </c>
      <c r="C192" s="5">
        <v>2.5</v>
      </c>
      <c r="D192" s="6">
        <f>IFERROR(VLOOKUP(TRIM(B192), GiaCuoc_Master!$A$2:$C$7, 3, FALSE), "Lỗi mã khu vực")</f>
        <v>22000</v>
      </c>
      <c r="E192" s="5">
        <v>90</v>
      </c>
      <c r="F192" s="4" t="s">
        <v>21</v>
      </c>
    </row>
    <row r="193" spans="1:6" x14ac:dyDescent="0.35">
      <c r="A193" s="1" t="s">
        <v>215</v>
      </c>
      <c r="B193" s="1" t="s">
        <v>13</v>
      </c>
      <c r="C193" s="7">
        <v>10</v>
      </c>
      <c r="D193" s="3">
        <f>IFERROR(VLOOKUP(TRIM(B193), GiaCuoc_Master!$A$2:$C$7, 3, FALSE), "Lỗi mã khu vực")</f>
        <v>75000</v>
      </c>
      <c r="E193" s="7">
        <v>67</v>
      </c>
      <c r="F193" s="1" t="s">
        <v>21</v>
      </c>
    </row>
    <row r="194" spans="1:6" x14ac:dyDescent="0.35">
      <c r="A194" s="4" t="s">
        <v>216</v>
      </c>
      <c r="B194" s="4" t="s">
        <v>3</v>
      </c>
      <c r="C194" s="5">
        <v>2</v>
      </c>
      <c r="D194" s="6">
        <f>IFERROR(VLOOKUP(TRIM(B194), GiaCuoc_Master!$A$2:$C$7, 3, FALSE), "Lỗi mã khu vực")</f>
        <v>22000</v>
      </c>
      <c r="E194" s="5">
        <v>111</v>
      </c>
      <c r="F194" s="4" t="s">
        <v>24</v>
      </c>
    </row>
    <row r="195" spans="1:6" x14ac:dyDescent="0.35">
      <c r="A195" s="1" t="s">
        <v>217</v>
      </c>
      <c r="B195" s="1" t="s">
        <v>7</v>
      </c>
      <c r="C195" s="7">
        <v>2</v>
      </c>
      <c r="D195" s="3">
        <f>IFERROR(VLOOKUP(TRIM(B195), GiaCuoc_Master!$A$2:$C$7, 3, FALSE), "Lỗi mã khu vực")</f>
        <v>25000</v>
      </c>
      <c r="E195" s="7">
        <v>50</v>
      </c>
      <c r="F195" s="1" t="s">
        <v>21</v>
      </c>
    </row>
    <row r="196" spans="1:6" x14ac:dyDescent="0.35">
      <c r="A196" s="4" t="s">
        <v>218</v>
      </c>
      <c r="B196" s="4" t="s">
        <v>5</v>
      </c>
      <c r="C196" s="5">
        <v>0.5</v>
      </c>
      <c r="D196" s="6">
        <f>IFERROR(VLOOKUP(TRIM(B196), GiaCuoc_Master!$A$2:$C$7, 3, FALSE), "Lỗi mã khu vực")</f>
        <v>35000</v>
      </c>
      <c r="E196" s="5">
        <v>30</v>
      </c>
      <c r="F196" s="4" t="s">
        <v>21</v>
      </c>
    </row>
    <row r="197" spans="1:6" x14ac:dyDescent="0.35">
      <c r="A197" s="1" t="s">
        <v>219</v>
      </c>
      <c r="B197" s="1" t="s">
        <v>5</v>
      </c>
      <c r="C197" s="7">
        <v>5</v>
      </c>
      <c r="D197" s="3">
        <f>IFERROR(VLOOKUP(TRIM(B197), GiaCuoc_Master!$A$2:$C$7, 3, FALSE), "Lỗi mã khu vực")</f>
        <v>35000</v>
      </c>
      <c r="E197" s="7">
        <v>103</v>
      </c>
      <c r="F197" s="1" t="s">
        <v>24</v>
      </c>
    </row>
    <row r="198" spans="1:6" x14ac:dyDescent="0.35">
      <c r="A198" s="4" t="s">
        <v>220</v>
      </c>
      <c r="B198" s="4" t="s">
        <v>3</v>
      </c>
      <c r="C198" s="5">
        <v>5</v>
      </c>
      <c r="D198" s="6">
        <f>IFERROR(VLOOKUP(TRIM(B198), GiaCuoc_Master!$A$2:$C$7, 3, FALSE), "Lỗi mã khu vực")</f>
        <v>22000</v>
      </c>
      <c r="E198" s="5">
        <v>78</v>
      </c>
      <c r="F198" s="4" t="s">
        <v>21</v>
      </c>
    </row>
    <row r="199" spans="1:6" x14ac:dyDescent="0.35">
      <c r="A199" s="1" t="s">
        <v>221</v>
      </c>
      <c r="B199" s="1" t="s">
        <v>13</v>
      </c>
      <c r="C199" s="7">
        <v>10</v>
      </c>
      <c r="D199" s="3">
        <f>IFERROR(VLOOKUP(TRIM(B199), GiaCuoc_Master!$A$2:$C$7, 3, FALSE), "Lỗi mã khu vực")</f>
        <v>75000</v>
      </c>
      <c r="E199" s="7">
        <v>49</v>
      </c>
      <c r="F199" s="1" t="s">
        <v>21</v>
      </c>
    </row>
    <row r="200" spans="1:6" x14ac:dyDescent="0.35">
      <c r="A200" s="4" t="s">
        <v>222</v>
      </c>
      <c r="B200" s="4" t="s">
        <v>13</v>
      </c>
      <c r="C200" s="5">
        <v>4</v>
      </c>
      <c r="D200" s="6">
        <f>IFERROR(VLOOKUP(TRIM(B200), GiaCuoc_Master!$A$2:$C$7, 3, FALSE), "Lỗi mã khu vực")</f>
        <v>75000</v>
      </c>
      <c r="E200" s="5">
        <v>88</v>
      </c>
      <c r="F200" s="4" t="s">
        <v>21</v>
      </c>
    </row>
    <row r="201" spans="1:6" x14ac:dyDescent="0.35">
      <c r="A201" s="1" t="s">
        <v>223</v>
      </c>
      <c r="B201" s="1" t="s">
        <v>9</v>
      </c>
      <c r="C201" s="7">
        <v>2</v>
      </c>
      <c r="D201" s="3">
        <f>IFERROR(VLOOKUP(TRIM(B201), GiaCuoc_Master!$A$2:$C$7, 3, FALSE), "Lỗi mã khu vực")</f>
        <v>40000</v>
      </c>
      <c r="E201" s="7">
        <v>43</v>
      </c>
      <c r="F201" s="1" t="s">
        <v>21</v>
      </c>
    </row>
    <row r="202" spans="1:6" x14ac:dyDescent="0.35">
      <c r="A202" s="4" t="s">
        <v>224</v>
      </c>
      <c r="B202" s="4" t="s">
        <v>13</v>
      </c>
      <c r="C202" s="5">
        <v>0.5</v>
      </c>
      <c r="D202" s="6">
        <f>IFERROR(VLOOKUP(TRIM(B202), GiaCuoc_Master!$A$2:$C$7, 3, FALSE), "Lỗi mã khu vực")</f>
        <v>75000</v>
      </c>
      <c r="E202" s="5">
        <v>38</v>
      </c>
      <c r="F202" s="4" t="s">
        <v>21</v>
      </c>
    </row>
    <row r="203" spans="1:6" x14ac:dyDescent="0.35">
      <c r="A203" s="1" t="s">
        <v>225</v>
      </c>
      <c r="B203" s="1" t="s">
        <v>9</v>
      </c>
      <c r="C203" s="7">
        <v>2</v>
      </c>
      <c r="D203" s="3">
        <f>IFERROR(VLOOKUP(TRIM(B203), GiaCuoc_Master!$A$2:$C$7, 3, FALSE), "Lỗi mã khu vực")</f>
        <v>40000</v>
      </c>
      <c r="E203" s="7">
        <v>47</v>
      </c>
      <c r="F203" s="1" t="s">
        <v>21</v>
      </c>
    </row>
    <row r="204" spans="1:6" x14ac:dyDescent="0.35">
      <c r="A204" s="4" t="s">
        <v>226</v>
      </c>
      <c r="B204" s="4" t="s">
        <v>13</v>
      </c>
      <c r="C204" s="5">
        <v>7.5</v>
      </c>
      <c r="D204" s="6">
        <f>IFERROR(VLOOKUP(TRIM(B204), GiaCuoc_Master!$A$2:$C$7, 3, FALSE), "Lỗi mã khu vực")</f>
        <v>75000</v>
      </c>
      <c r="E204" s="5">
        <v>84</v>
      </c>
      <c r="F204" s="4" t="s">
        <v>21</v>
      </c>
    </row>
    <row r="205" spans="1:6" x14ac:dyDescent="0.35">
      <c r="A205" s="1" t="s">
        <v>227</v>
      </c>
      <c r="B205" s="1" t="s">
        <v>3</v>
      </c>
      <c r="C205" s="7">
        <v>7.5</v>
      </c>
      <c r="D205" s="3">
        <f>IFERROR(VLOOKUP(TRIM(B205), GiaCuoc_Master!$A$2:$C$7, 3, FALSE), "Lỗi mã khu vực")</f>
        <v>22000</v>
      </c>
      <c r="E205" s="7">
        <v>56</v>
      </c>
      <c r="F205" s="1" t="s">
        <v>21</v>
      </c>
    </row>
    <row r="206" spans="1:6" x14ac:dyDescent="0.35">
      <c r="A206" s="4" t="s">
        <v>228</v>
      </c>
      <c r="B206" s="4" t="s">
        <v>3</v>
      </c>
      <c r="C206" s="5">
        <v>5</v>
      </c>
      <c r="D206" s="6">
        <f>IFERROR(VLOOKUP(TRIM(B206), GiaCuoc_Master!$A$2:$C$7, 3, FALSE), "Lỗi mã khu vực")</f>
        <v>22000</v>
      </c>
      <c r="E206" s="5">
        <v>42</v>
      </c>
      <c r="F206" s="4" t="s">
        <v>21</v>
      </c>
    </row>
    <row r="207" spans="1:6" x14ac:dyDescent="0.35">
      <c r="A207" s="1" t="s">
        <v>229</v>
      </c>
      <c r="B207" s="1" t="s">
        <v>9</v>
      </c>
      <c r="C207" s="7">
        <v>7.5</v>
      </c>
      <c r="D207" s="3">
        <f>IFERROR(VLOOKUP(TRIM(B207), GiaCuoc_Master!$A$2:$C$7, 3, FALSE), "Lỗi mã khu vực")</f>
        <v>40000</v>
      </c>
      <c r="E207" s="7">
        <v>96</v>
      </c>
      <c r="F207" s="1" t="s">
        <v>24</v>
      </c>
    </row>
    <row r="208" spans="1:6" x14ac:dyDescent="0.35">
      <c r="A208" s="4" t="s">
        <v>230</v>
      </c>
      <c r="B208" s="4" t="s">
        <v>11</v>
      </c>
      <c r="C208" s="5">
        <v>3</v>
      </c>
      <c r="D208" s="6">
        <f>IFERROR(VLOOKUP(TRIM(B208), GiaCuoc_Master!$A$2:$C$7, 3, FALSE), "Lỗi mã khu vực")</f>
        <v>55000</v>
      </c>
      <c r="E208" s="5">
        <v>81</v>
      </c>
      <c r="F208" s="4" t="s">
        <v>21</v>
      </c>
    </row>
    <row r="209" spans="1:6" x14ac:dyDescent="0.35">
      <c r="A209" s="1" t="s">
        <v>231</v>
      </c>
      <c r="B209" s="1" t="s">
        <v>11</v>
      </c>
      <c r="C209" s="7">
        <v>7.5</v>
      </c>
      <c r="D209" s="3">
        <f>IFERROR(VLOOKUP(TRIM(B209), GiaCuoc_Master!$A$2:$C$7, 3, FALSE), "Lỗi mã khu vực")</f>
        <v>55000</v>
      </c>
      <c r="E209" s="7">
        <v>79</v>
      </c>
      <c r="F209" s="1" t="s">
        <v>21</v>
      </c>
    </row>
    <row r="210" spans="1:6" x14ac:dyDescent="0.35">
      <c r="A210" s="4" t="s">
        <v>232</v>
      </c>
      <c r="B210" s="4" t="s">
        <v>11</v>
      </c>
      <c r="C210" s="5">
        <v>5</v>
      </c>
      <c r="D210" s="6">
        <f>IFERROR(VLOOKUP(TRIM(B210), GiaCuoc_Master!$A$2:$C$7, 3, FALSE), "Lỗi mã khu vực")</f>
        <v>55000</v>
      </c>
      <c r="E210" s="5">
        <v>45</v>
      </c>
      <c r="F210" s="4" t="s">
        <v>21</v>
      </c>
    </row>
    <row r="211" spans="1:6" x14ac:dyDescent="0.35">
      <c r="A211" s="1" t="s">
        <v>233</v>
      </c>
      <c r="B211" s="1" t="s">
        <v>13</v>
      </c>
      <c r="C211" s="7">
        <v>5</v>
      </c>
      <c r="D211" s="3">
        <f>IFERROR(VLOOKUP(TRIM(B211), GiaCuoc_Master!$A$2:$C$7, 3, FALSE), "Lỗi mã khu vực")</f>
        <v>75000</v>
      </c>
      <c r="E211" s="7">
        <v>82</v>
      </c>
      <c r="F211" s="1" t="s">
        <v>21</v>
      </c>
    </row>
    <row r="212" spans="1:6" x14ac:dyDescent="0.35">
      <c r="A212" s="4" t="s">
        <v>234</v>
      </c>
      <c r="B212" s="4" t="s">
        <v>7</v>
      </c>
      <c r="C212" s="5">
        <v>2</v>
      </c>
      <c r="D212" s="6">
        <f>IFERROR(VLOOKUP(TRIM(B212), GiaCuoc_Master!$A$2:$C$7, 3, FALSE), "Lỗi mã khu vực")</f>
        <v>25000</v>
      </c>
      <c r="E212" s="5">
        <v>106</v>
      </c>
      <c r="F212" s="4" t="s">
        <v>24</v>
      </c>
    </row>
    <row r="213" spans="1:6" x14ac:dyDescent="0.35">
      <c r="A213" s="1" t="s">
        <v>235</v>
      </c>
      <c r="B213" s="1" t="s">
        <v>7</v>
      </c>
      <c r="C213" s="7">
        <v>7.5</v>
      </c>
      <c r="D213" s="3">
        <f>IFERROR(VLOOKUP(TRIM(B213), GiaCuoc_Master!$A$2:$C$7, 3, FALSE), "Lỗi mã khu vực")</f>
        <v>25000</v>
      </c>
      <c r="E213" s="7">
        <v>87</v>
      </c>
      <c r="F213" s="1" t="s">
        <v>21</v>
      </c>
    </row>
    <row r="214" spans="1:6" x14ac:dyDescent="0.35">
      <c r="A214" s="4" t="s">
        <v>236</v>
      </c>
      <c r="B214" s="4" t="s">
        <v>13</v>
      </c>
      <c r="C214" s="5">
        <v>2</v>
      </c>
      <c r="D214" s="6">
        <f>IFERROR(VLOOKUP(TRIM(B214), GiaCuoc_Master!$A$2:$C$7, 3, FALSE), "Lỗi mã khu vực")</f>
        <v>75000</v>
      </c>
      <c r="E214" s="5">
        <v>60</v>
      </c>
      <c r="F214" s="4" t="s">
        <v>21</v>
      </c>
    </row>
    <row r="215" spans="1:6" x14ac:dyDescent="0.35">
      <c r="A215" s="1" t="s">
        <v>237</v>
      </c>
      <c r="B215" s="1" t="s">
        <v>9</v>
      </c>
      <c r="C215" s="7">
        <v>1</v>
      </c>
      <c r="D215" s="3">
        <f>IFERROR(VLOOKUP(TRIM(B215), GiaCuoc_Master!$A$2:$C$7, 3, FALSE), "Lỗi mã khu vực")</f>
        <v>40000</v>
      </c>
      <c r="E215" s="7">
        <v>116</v>
      </c>
      <c r="F215" s="1" t="s">
        <v>24</v>
      </c>
    </row>
    <row r="216" spans="1:6" x14ac:dyDescent="0.35">
      <c r="A216" s="4" t="s">
        <v>238</v>
      </c>
      <c r="B216" s="4" t="s">
        <v>7</v>
      </c>
      <c r="C216" s="5">
        <v>2</v>
      </c>
      <c r="D216" s="6">
        <f>IFERROR(VLOOKUP(TRIM(B216), GiaCuoc_Master!$A$2:$C$7, 3, FALSE), "Lỗi mã khu vực")</f>
        <v>25000</v>
      </c>
      <c r="E216" s="5">
        <v>59</v>
      </c>
      <c r="F216" s="4" t="s">
        <v>21</v>
      </c>
    </row>
    <row r="217" spans="1:6" x14ac:dyDescent="0.35">
      <c r="A217" s="1" t="s">
        <v>239</v>
      </c>
      <c r="B217" s="1" t="s">
        <v>7</v>
      </c>
      <c r="C217" s="7">
        <v>3</v>
      </c>
      <c r="D217" s="3">
        <f>IFERROR(VLOOKUP(TRIM(B217), GiaCuoc_Master!$A$2:$C$7, 3, FALSE), "Lỗi mã khu vực")</f>
        <v>25000</v>
      </c>
      <c r="E217" s="7">
        <v>94</v>
      </c>
      <c r="F217" s="1" t="s">
        <v>24</v>
      </c>
    </row>
    <row r="218" spans="1:6" x14ac:dyDescent="0.35">
      <c r="A218" s="4" t="s">
        <v>240</v>
      </c>
      <c r="B218" s="4" t="s">
        <v>3</v>
      </c>
      <c r="C218" s="5">
        <v>1.5</v>
      </c>
      <c r="D218" s="6">
        <f>IFERROR(VLOOKUP(TRIM(B218), GiaCuoc_Master!$A$2:$C$7, 3, FALSE), "Lỗi mã khu vực")</f>
        <v>22000</v>
      </c>
      <c r="E218" s="5">
        <v>44</v>
      </c>
      <c r="F218" s="4" t="s">
        <v>21</v>
      </c>
    </row>
    <row r="219" spans="1:6" x14ac:dyDescent="0.35">
      <c r="A219" s="1" t="s">
        <v>241</v>
      </c>
      <c r="B219" s="1" t="s">
        <v>5</v>
      </c>
      <c r="C219" s="7">
        <v>4</v>
      </c>
      <c r="D219" s="3">
        <f>IFERROR(VLOOKUP(TRIM(B219), GiaCuoc_Master!$A$2:$C$7, 3, FALSE), "Lỗi mã khu vực")</f>
        <v>35000</v>
      </c>
      <c r="E219" s="7">
        <v>113</v>
      </c>
      <c r="F219" s="1" t="s">
        <v>24</v>
      </c>
    </row>
    <row r="220" spans="1:6" x14ac:dyDescent="0.35">
      <c r="A220" s="4" t="s">
        <v>242</v>
      </c>
      <c r="B220" s="4" t="s">
        <v>5</v>
      </c>
      <c r="C220" s="5">
        <v>2</v>
      </c>
      <c r="D220" s="6">
        <f>IFERROR(VLOOKUP(TRIM(B220), GiaCuoc_Master!$A$2:$C$7, 3, FALSE), "Lỗi mã khu vực")</f>
        <v>35000</v>
      </c>
      <c r="E220" s="5">
        <v>33</v>
      </c>
      <c r="F220" s="4" t="s">
        <v>21</v>
      </c>
    </row>
    <row r="221" spans="1:6" x14ac:dyDescent="0.35">
      <c r="A221" s="1" t="s">
        <v>243</v>
      </c>
      <c r="B221" s="1" t="s">
        <v>9</v>
      </c>
      <c r="C221" s="7">
        <v>4</v>
      </c>
      <c r="D221" s="3">
        <f>IFERROR(VLOOKUP(TRIM(B221), GiaCuoc_Master!$A$2:$C$7, 3, FALSE), "Lỗi mã khu vực")</f>
        <v>40000</v>
      </c>
      <c r="E221" s="7">
        <v>67</v>
      </c>
      <c r="F221" s="1" t="s">
        <v>21</v>
      </c>
    </row>
    <row r="222" spans="1:6" x14ac:dyDescent="0.35">
      <c r="A222" s="4" t="s">
        <v>244</v>
      </c>
      <c r="B222" s="4" t="s">
        <v>11</v>
      </c>
      <c r="C222" s="5">
        <v>5</v>
      </c>
      <c r="D222" s="6">
        <f>IFERROR(VLOOKUP(TRIM(B222), GiaCuoc_Master!$A$2:$C$7, 3, FALSE), "Lỗi mã khu vực")</f>
        <v>55000</v>
      </c>
      <c r="E222" s="5">
        <v>78</v>
      </c>
      <c r="F222" s="4" t="s">
        <v>21</v>
      </c>
    </row>
    <row r="223" spans="1:6" x14ac:dyDescent="0.35">
      <c r="A223" s="1" t="s">
        <v>245</v>
      </c>
      <c r="B223" s="1" t="s">
        <v>3</v>
      </c>
      <c r="C223" s="7">
        <v>2</v>
      </c>
      <c r="D223" s="3">
        <f>IFERROR(VLOOKUP(TRIM(B223), GiaCuoc_Master!$A$2:$C$7, 3, FALSE), "Lỗi mã khu vực")</f>
        <v>22000</v>
      </c>
      <c r="E223" s="7">
        <v>78</v>
      </c>
      <c r="F223" s="1" t="s">
        <v>21</v>
      </c>
    </row>
    <row r="224" spans="1:6" x14ac:dyDescent="0.35">
      <c r="A224" s="4" t="s">
        <v>246</v>
      </c>
      <c r="B224" s="4" t="s">
        <v>9</v>
      </c>
      <c r="C224" s="5">
        <v>10</v>
      </c>
      <c r="D224" s="6">
        <f>IFERROR(VLOOKUP(TRIM(B224), GiaCuoc_Master!$A$2:$C$7, 3, FALSE), "Lỗi mã khu vực")</f>
        <v>40000</v>
      </c>
      <c r="E224" s="5">
        <v>114</v>
      </c>
      <c r="F224" s="4" t="s">
        <v>24</v>
      </c>
    </row>
    <row r="225" spans="1:6" x14ac:dyDescent="0.35">
      <c r="A225" s="1" t="s">
        <v>247</v>
      </c>
      <c r="B225" s="1" t="s">
        <v>3</v>
      </c>
      <c r="C225" s="7">
        <v>10</v>
      </c>
      <c r="D225" s="3">
        <f>IFERROR(VLOOKUP(TRIM(B225), GiaCuoc_Master!$A$2:$C$7, 3, FALSE), "Lỗi mã khu vực")</f>
        <v>22000</v>
      </c>
      <c r="E225" s="7">
        <v>73</v>
      </c>
      <c r="F225" s="1" t="s">
        <v>21</v>
      </c>
    </row>
    <row r="226" spans="1:6" x14ac:dyDescent="0.35">
      <c r="A226" s="4" t="s">
        <v>248</v>
      </c>
      <c r="B226" s="4" t="s">
        <v>9</v>
      </c>
      <c r="C226" s="5">
        <v>0.5</v>
      </c>
      <c r="D226" s="6">
        <f>IFERROR(VLOOKUP(TRIM(B226), GiaCuoc_Master!$A$2:$C$7, 3, FALSE), "Lỗi mã khu vực")</f>
        <v>40000</v>
      </c>
      <c r="E226" s="5">
        <v>70</v>
      </c>
      <c r="F226" s="4" t="s">
        <v>21</v>
      </c>
    </row>
    <row r="227" spans="1:6" x14ac:dyDescent="0.35">
      <c r="A227" s="1" t="s">
        <v>249</v>
      </c>
      <c r="B227" s="1" t="s">
        <v>7</v>
      </c>
      <c r="C227" s="7">
        <v>4</v>
      </c>
      <c r="D227" s="3">
        <f>IFERROR(VLOOKUP(TRIM(B227), GiaCuoc_Master!$A$2:$C$7, 3, FALSE), "Lỗi mã khu vực")</f>
        <v>25000</v>
      </c>
      <c r="E227" s="7">
        <v>78</v>
      </c>
      <c r="F227" s="1" t="s">
        <v>21</v>
      </c>
    </row>
    <row r="228" spans="1:6" x14ac:dyDescent="0.35">
      <c r="A228" s="4" t="s">
        <v>250</v>
      </c>
      <c r="B228" s="4" t="s">
        <v>11</v>
      </c>
      <c r="C228" s="5">
        <v>7.5</v>
      </c>
      <c r="D228" s="6">
        <f>IFERROR(VLOOKUP(TRIM(B228), GiaCuoc_Master!$A$2:$C$7, 3, FALSE), "Lỗi mã khu vực")</f>
        <v>55000</v>
      </c>
      <c r="E228" s="5">
        <v>102</v>
      </c>
      <c r="F228" s="4" t="s">
        <v>24</v>
      </c>
    </row>
    <row r="229" spans="1:6" x14ac:dyDescent="0.35">
      <c r="A229" s="1" t="s">
        <v>251</v>
      </c>
      <c r="B229" s="1" t="s">
        <v>5</v>
      </c>
      <c r="C229" s="7">
        <v>5</v>
      </c>
      <c r="D229" s="3">
        <f>IFERROR(VLOOKUP(TRIM(B229), GiaCuoc_Master!$A$2:$C$7, 3, FALSE), "Lỗi mã khu vực")</f>
        <v>35000</v>
      </c>
      <c r="E229" s="7">
        <v>53</v>
      </c>
      <c r="F229" s="1" t="s">
        <v>21</v>
      </c>
    </row>
    <row r="230" spans="1:6" x14ac:dyDescent="0.35">
      <c r="A230" s="4" t="s">
        <v>252</v>
      </c>
      <c r="B230" s="4" t="s">
        <v>7</v>
      </c>
      <c r="C230" s="5">
        <v>4</v>
      </c>
      <c r="D230" s="6">
        <f>IFERROR(VLOOKUP(TRIM(B230), GiaCuoc_Master!$A$2:$C$7, 3, FALSE), "Lỗi mã khu vực")</f>
        <v>25000</v>
      </c>
      <c r="E230" s="5">
        <v>87</v>
      </c>
      <c r="F230" s="4" t="s">
        <v>21</v>
      </c>
    </row>
    <row r="231" spans="1:6" x14ac:dyDescent="0.35">
      <c r="A231" s="1" t="s">
        <v>253</v>
      </c>
      <c r="B231" s="1" t="s">
        <v>3</v>
      </c>
      <c r="C231" s="7">
        <v>4</v>
      </c>
      <c r="D231" s="3">
        <f>IFERROR(VLOOKUP(TRIM(B231), GiaCuoc_Master!$A$2:$C$7, 3, FALSE), "Lỗi mã khu vực")</f>
        <v>22000</v>
      </c>
      <c r="E231" s="7">
        <v>68</v>
      </c>
      <c r="F231" s="1" t="s">
        <v>21</v>
      </c>
    </row>
    <row r="232" spans="1:6" x14ac:dyDescent="0.35">
      <c r="A232" s="4" t="s">
        <v>254</v>
      </c>
      <c r="B232" s="4" t="s">
        <v>13</v>
      </c>
      <c r="C232" s="5">
        <v>4</v>
      </c>
      <c r="D232" s="6">
        <f>IFERROR(VLOOKUP(TRIM(B232), GiaCuoc_Master!$A$2:$C$7, 3, FALSE), "Lỗi mã khu vực")</f>
        <v>75000</v>
      </c>
      <c r="E232" s="5">
        <v>117</v>
      </c>
      <c r="F232" s="4" t="s">
        <v>24</v>
      </c>
    </row>
    <row r="233" spans="1:6" x14ac:dyDescent="0.35">
      <c r="A233" s="1" t="s">
        <v>255</v>
      </c>
      <c r="B233" s="1" t="s">
        <v>5</v>
      </c>
      <c r="C233" s="7">
        <v>5</v>
      </c>
      <c r="D233" s="3">
        <f>IFERROR(VLOOKUP(TRIM(B233), GiaCuoc_Master!$A$2:$C$7, 3, FALSE), "Lỗi mã khu vực")</f>
        <v>35000</v>
      </c>
      <c r="E233" s="7">
        <v>41</v>
      </c>
      <c r="F233" s="1" t="s">
        <v>21</v>
      </c>
    </row>
    <row r="234" spans="1:6" x14ac:dyDescent="0.35">
      <c r="A234" s="4" t="s">
        <v>256</v>
      </c>
      <c r="B234" s="4" t="s">
        <v>11</v>
      </c>
      <c r="C234" s="5">
        <v>7.5</v>
      </c>
      <c r="D234" s="6">
        <f>IFERROR(VLOOKUP(TRIM(B234), GiaCuoc_Master!$A$2:$C$7, 3, FALSE), "Lỗi mã khu vực")</f>
        <v>55000</v>
      </c>
      <c r="E234" s="5">
        <v>28</v>
      </c>
      <c r="F234" s="4" t="s">
        <v>21</v>
      </c>
    </row>
    <row r="235" spans="1:6" x14ac:dyDescent="0.35">
      <c r="A235" s="1" t="s">
        <v>257</v>
      </c>
      <c r="B235" s="1" t="s">
        <v>9</v>
      </c>
      <c r="C235" s="7">
        <v>10</v>
      </c>
      <c r="D235" s="3">
        <f>IFERROR(VLOOKUP(TRIM(B235), GiaCuoc_Master!$A$2:$C$7, 3, FALSE), "Lỗi mã khu vực")</f>
        <v>40000</v>
      </c>
      <c r="E235" s="7">
        <v>97</v>
      </c>
      <c r="F235" s="1" t="s">
        <v>24</v>
      </c>
    </row>
    <row r="236" spans="1:6" x14ac:dyDescent="0.35">
      <c r="A236" s="4" t="s">
        <v>258</v>
      </c>
      <c r="B236" s="4" t="s">
        <v>13</v>
      </c>
      <c r="C236" s="5">
        <v>0.5</v>
      </c>
      <c r="D236" s="6">
        <f>IFERROR(VLOOKUP(TRIM(B236), GiaCuoc_Master!$A$2:$C$7, 3, FALSE), "Lỗi mã khu vực")</f>
        <v>75000</v>
      </c>
      <c r="E236" s="5">
        <v>35</v>
      </c>
      <c r="F236" s="4" t="s">
        <v>21</v>
      </c>
    </row>
    <row r="237" spans="1:6" x14ac:dyDescent="0.35">
      <c r="A237" s="1" t="s">
        <v>259</v>
      </c>
      <c r="B237" s="1" t="s">
        <v>13</v>
      </c>
      <c r="C237" s="7">
        <v>4</v>
      </c>
      <c r="D237" s="3">
        <f>IFERROR(VLOOKUP(TRIM(B237), GiaCuoc_Master!$A$2:$C$7, 3, FALSE), "Lỗi mã khu vực")</f>
        <v>75000</v>
      </c>
      <c r="E237" s="7">
        <v>42</v>
      </c>
      <c r="F237" s="1" t="s">
        <v>21</v>
      </c>
    </row>
    <row r="238" spans="1:6" x14ac:dyDescent="0.35">
      <c r="A238" s="4" t="s">
        <v>260</v>
      </c>
      <c r="B238" s="4" t="s">
        <v>9</v>
      </c>
      <c r="C238" s="5">
        <v>1.5</v>
      </c>
      <c r="D238" s="6">
        <f>IFERROR(VLOOKUP(TRIM(B238), GiaCuoc_Master!$A$2:$C$7, 3, FALSE), "Lỗi mã khu vực")</f>
        <v>40000</v>
      </c>
      <c r="E238" s="5">
        <v>31</v>
      </c>
      <c r="F238" s="4" t="s">
        <v>21</v>
      </c>
    </row>
    <row r="239" spans="1:6" x14ac:dyDescent="0.35">
      <c r="A239" s="1" t="s">
        <v>261</v>
      </c>
      <c r="B239" s="1" t="s">
        <v>7</v>
      </c>
      <c r="C239" s="7">
        <v>4</v>
      </c>
      <c r="D239" s="3">
        <f>IFERROR(VLOOKUP(TRIM(B239), GiaCuoc_Master!$A$2:$C$7, 3, FALSE), "Lỗi mã khu vực")</f>
        <v>25000</v>
      </c>
      <c r="E239" s="7">
        <v>66</v>
      </c>
      <c r="F239" s="1" t="s">
        <v>21</v>
      </c>
    </row>
    <row r="240" spans="1:6" x14ac:dyDescent="0.35">
      <c r="A240" s="4" t="s">
        <v>262</v>
      </c>
      <c r="B240" s="4" t="s">
        <v>5</v>
      </c>
      <c r="C240" s="5">
        <v>5</v>
      </c>
      <c r="D240" s="6">
        <f>IFERROR(VLOOKUP(TRIM(B240), GiaCuoc_Master!$A$2:$C$7, 3, FALSE), "Lỗi mã khu vực")</f>
        <v>35000</v>
      </c>
      <c r="E240" s="5">
        <v>66</v>
      </c>
      <c r="F240" s="4" t="s">
        <v>21</v>
      </c>
    </row>
    <row r="241" spans="1:6" x14ac:dyDescent="0.35">
      <c r="A241" s="1" t="s">
        <v>263</v>
      </c>
      <c r="B241" s="1" t="s">
        <v>7</v>
      </c>
      <c r="C241" s="7">
        <v>4</v>
      </c>
      <c r="D241" s="3">
        <f>IFERROR(VLOOKUP(TRIM(B241), GiaCuoc_Master!$A$2:$C$7, 3, FALSE), "Lỗi mã khu vực")</f>
        <v>25000</v>
      </c>
      <c r="E241" s="7">
        <v>60</v>
      </c>
      <c r="F241" s="1" t="s">
        <v>21</v>
      </c>
    </row>
    <row r="242" spans="1:6" x14ac:dyDescent="0.35">
      <c r="A242" s="4" t="s">
        <v>264</v>
      </c>
      <c r="B242" s="4" t="s">
        <v>9</v>
      </c>
      <c r="C242" s="5">
        <v>2.5</v>
      </c>
      <c r="D242" s="6">
        <f>IFERROR(VLOOKUP(TRIM(B242), GiaCuoc_Master!$A$2:$C$7, 3, FALSE), "Lỗi mã khu vực")</f>
        <v>40000</v>
      </c>
      <c r="E242" s="5">
        <v>35</v>
      </c>
      <c r="F242" s="4" t="s">
        <v>21</v>
      </c>
    </row>
    <row r="243" spans="1:6" x14ac:dyDescent="0.35">
      <c r="A243" s="1" t="s">
        <v>265</v>
      </c>
      <c r="B243" s="1" t="s">
        <v>9</v>
      </c>
      <c r="C243" s="7">
        <v>0.5</v>
      </c>
      <c r="D243" s="3">
        <f>IFERROR(VLOOKUP(TRIM(B243), GiaCuoc_Master!$A$2:$C$7, 3, FALSE), "Lỗi mã khu vực")</f>
        <v>40000</v>
      </c>
      <c r="E243" s="7">
        <v>120</v>
      </c>
      <c r="F243" s="1" t="s">
        <v>24</v>
      </c>
    </row>
    <row r="244" spans="1:6" x14ac:dyDescent="0.35">
      <c r="A244" s="4" t="s">
        <v>266</v>
      </c>
      <c r="B244" s="4" t="s">
        <v>11</v>
      </c>
      <c r="C244" s="5">
        <v>0.5</v>
      </c>
      <c r="D244" s="6">
        <f>IFERROR(VLOOKUP(TRIM(B244), GiaCuoc_Master!$A$2:$C$7, 3, FALSE), "Lỗi mã khu vực")</f>
        <v>55000</v>
      </c>
      <c r="E244" s="5">
        <v>69</v>
      </c>
      <c r="F244" s="4" t="s">
        <v>21</v>
      </c>
    </row>
    <row r="245" spans="1:6" x14ac:dyDescent="0.35">
      <c r="A245" s="1" t="s">
        <v>267</v>
      </c>
      <c r="B245" s="1" t="s">
        <v>5</v>
      </c>
      <c r="C245" s="7">
        <v>1</v>
      </c>
      <c r="D245" s="3">
        <f>IFERROR(VLOOKUP(TRIM(B245), GiaCuoc_Master!$A$2:$C$7, 3, FALSE), "Lỗi mã khu vực")</f>
        <v>35000</v>
      </c>
      <c r="E245" s="7">
        <v>108</v>
      </c>
      <c r="F245" s="1" t="s">
        <v>24</v>
      </c>
    </row>
    <row r="246" spans="1:6" x14ac:dyDescent="0.35">
      <c r="A246" s="4" t="s">
        <v>268</v>
      </c>
      <c r="B246" s="4" t="s">
        <v>3</v>
      </c>
      <c r="C246" s="5">
        <v>0.5</v>
      </c>
      <c r="D246" s="6">
        <f>IFERROR(VLOOKUP(TRIM(B246), GiaCuoc_Master!$A$2:$C$7, 3, FALSE), "Lỗi mã khu vực")</f>
        <v>22000</v>
      </c>
      <c r="E246" s="5">
        <v>56</v>
      </c>
      <c r="F246" s="4" t="s">
        <v>21</v>
      </c>
    </row>
    <row r="247" spans="1:6" x14ac:dyDescent="0.35">
      <c r="A247" s="1" t="s">
        <v>269</v>
      </c>
      <c r="B247" s="1" t="s">
        <v>5</v>
      </c>
      <c r="C247" s="7">
        <v>0.5</v>
      </c>
      <c r="D247" s="3">
        <f>IFERROR(VLOOKUP(TRIM(B247), GiaCuoc_Master!$A$2:$C$7, 3, FALSE), "Lỗi mã khu vực")</f>
        <v>35000</v>
      </c>
      <c r="E247" s="7">
        <v>104</v>
      </c>
      <c r="F247" s="1" t="s">
        <v>24</v>
      </c>
    </row>
    <row r="248" spans="1:6" x14ac:dyDescent="0.35">
      <c r="A248" s="4" t="s">
        <v>270</v>
      </c>
      <c r="B248" s="4" t="s">
        <v>5</v>
      </c>
      <c r="C248" s="5">
        <v>2</v>
      </c>
      <c r="D248" s="6">
        <f>IFERROR(VLOOKUP(TRIM(B248), GiaCuoc_Master!$A$2:$C$7, 3, FALSE), "Lỗi mã khu vực")</f>
        <v>35000</v>
      </c>
      <c r="E248" s="5">
        <v>41</v>
      </c>
      <c r="F248" s="4" t="s">
        <v>21</v>
      </c>
    </row>
    <row r="249" spans="1:6" x14ac:dyDescent="0.35">
      <c r="A249" s="1" t="s">
        <v>271</v>
      </c>
      <c r="B249" s="1" t="s">
        <v>9</v>
      </c>
      <c r="C249" s="7">
        <v>1</v>
      </c>
      <c r="D249" s="3">
        <f>IFERROR(VLOOKUP(TRIM(B249), GiaCuoc_Master!$A$2:$C$7, 3, FALSE), "Lỗi mã khu vực")</f>
        <v>40000</v>
      </c>
      <c r="E249" s="7">
        <v>97</v>
      </c>
      <c r="F249" s="1" t="s">
        <v>24</v>
      </c>
    </row>
    <row r="250" spans="1:6" x14ac:dyDescent="0.35">
      <c r="A250" s="4" t="s">
        <v>272</v>
      </c>
      <c r="B250" s="4" t="s">
        <v>5</v>
      </c>
      <c r="C250" s="5">
        <v>5</v>
      </c>
      <c r="D250" s="6">
        <f>IFERROR(VLOOKUP(TRIM(B250), GiaCuoc_Master!$A$2:$C$7, 3, FALSE), "Lỗi mã khu vực")</f>
        <v>35000</v>
      </c>
      <c r="E250" s="5">
        <v>114</v>
      </c>
      <c r="F250" s="4" t="s">
        <v>24</v>
      </c>
    </row>
    <row r="251" spans="1:6" x14ac:dyDescent="0.35">
      <c r="A251" s="1" t="s">
        <v>273</v>
      </c>
      <c r="B251" s="1" t="s">
        <v>7</v>
      </c>
      <c r="C251" s="7">
        <v>3</v>
      </c>
      <c r="D251" s="3">
        <f>IFERROR(VLOOKUP(TRIM(B251), GiaCuoc_Master!$A$2:$C$7, 3, FALSE), "Lỗi mã khu vực")</f>
        <v>25000</v>
      </c>
      <c r="E251" s="7">
        <v>46</v>
      </c>
      <c r="F251" s="1" t="s">
        <v>21</v>
      </c>
    </row>
    <row r="252" spans="1:6" x14ac:dyDescent="0.35">
      <c r="A252" s="4" t="s">
        <v>274</v>
      </c>
      <c r="B252" s="4" t="s">
        <v>11</v>
      </c>
      <c r="C252" s="5">
        <v>10</v>
      </c>
      <c r="D252" s="6">
        <f>IFERROR(VLOOKUP(TRIM(B252), GiaCuoc_Master!$A$2:$C$7, 3, FALSE), "Lỗi mã khu vực")</f>
        <v>55000</v>
      </c>
      <c r="E252" s="5">
        <v>120</v>
      </c>
      <c r="F252" s="4" t="s">
        <v>24</v>
      </c>
    </row>
    <row r="253" spans="1:6" x14ac:dyDescent="0.35">
      <c r="A253" s="1" t="s">
        <v>275</v>
      </c>
      <c r="B253" s="1" t="s">
        <v>13</v>
      </c>
      <c r="C253" s="7">
        <v>1</v>
      </c>
      <c r="D253" s="3">
        <f>IFERROR(VLOOKUP(TRIM(B253), GiaCuoc_Master!$A$2:$C$7, 3, FALSE), "Lỗi mã khu vực")</f>
        <v>75000</v>
      </c>
      <c r="E253" s="7">
        <v>45</v>
      </c>
      <c r="F253" s="1" t="s">
        <v>21</v>
      </c>
    </row>
    <row r="254" spans="1:6" x14ac:dyDescent="0.35">
      <c r="A254" s="4" t="s">
        <v>276</v>
      </c>
      <c r="B254" s="4" t="s">
        <v>7</v>
      </c>
      <c r="C254" s="5">
        <v>1</v>
      </c>
      <c r="D254" s="6">
        <f>IFERROR(VLOOKUP(TRIM(B254), GiaCuoc_Master!$A$2:$C$7, 3, FALSE), "Lỗi mã khu vực")</f>
        <v>25000</v>
      </c>
      <c r="E254" s="5">
        <v>99</v>
      </c>
      <c r="F254" s="4" t="s">
        <v>24</v>
      </c>
    </row>
    <row r="255" spans="1:6" x14ac:dyDescent="0.35">
      <c r="A255" s="1" t="s">
        <v>277</v>
      </c>
      <c r="B255" s="1" t="s">
        <v>3</v>
      </c>
      <c r="C255" s="7">
        <v>2.5</v>
      </c>
      <c r="D255" s="3">
        <f>IFERROR(VLOOKUP(TRIM(B255), GiaCuoc_Master!$A$2:$C$7, 3, FALSE), "Lỗi mã khu vực")</f>
        <v>22000</v>
      </c>
      <c r="E255" s="7">
        <v>98</v>
      </c>
      <c r="F255" s="1" t="s">
        <v>24</v>
      </c>
    </row>
    <row r="256" spans="1:6" x14ac:dyDescent="0.35">
      <c r="A256" s="4" t="s">
        <v>278</v>
      </c>
      <c r="B256" s="4" t="s">
        <v>13</v>
      </c>
      <c r="C256" s="5">
        <v>4</v>
      </c>
      <c r="D256" s="6">
        <f>IFERROR(VLOOKUP(TRIM(B256), GiaCuoc_Master!$A$2:$C$7, 3, FALSE), "Lỗi mã khu vực")</f>
        <v>75000</v>
      </c>
      <c r="E256" s="5">
        <v>75</v>
      </c>
      <c r="F256" s="4" t="s">
        <v>21</v>
      </c>
    </row>
    <row r="257" spans="1:6" x14ac:dyDescent="0.35">
      <c r="A257" s="1" t="s">
        <v>279</v>
      </c>
      <c r="B257" s="1" t="s">
        <v>13</v>
      </c>
      <c r="C257" s="7">
        <v>2</v>
      </c>
      <c r="D257" s="3">
        <f>IFERROR(VLOOKUP(TRIM(B257), GiaCuoc_Master!$A$2:$C$7, 3, FALSE), "Lỗi mã khu vực")</f>
        <v>75000</v>
      </c>
      <c r="E257" s="7">
        <v>34</v>
      </c>
      <c r="F257" s="1" t="s">
        <v>21</v>
      </c>
    </row>
    <row r="258" spans="1:6" x14ac:dyDescent="0.35">
      <c r="A258" s="4" t="s">
        <v>280</v>
      </c>
      <c r="B258" s="4" t="s">
        <v>11</v>
      </c>
      <c r="C258" s="5">
        <v>2</v>
      </c>
      <c r="D258" s="6">
        <f>IFERROR(VLOOKUP(TRIM(B258), GiaCuoc_Master!$A$2:$C$7, 3, FALSE), "Lỗi mã khu vực")</f>
        <v>55000</v>
      </c>
      <c r="E258" s="5">
        <v>38</v>
      </c>
      <c r="F258" s="4" t="s">
        <v>21</v>
      </c>
    </row>
    <row r="259" spans="1:6" x14ac:dyDescent="0.35">
      <c r="A259" s="1" t="s">
        <v>281</v>
      </c>
      <c r="B259" s="1" t="s">
        <v>13</v>
      </c>
      <c r="C259" s="7">
        <v>2.5</v>
      </c>
      <c r="D259" s="3">
        <f>IFERROR(VLOOKUP(TRIM(B259), GiaCuoc_Master!$A$2:$C$7, 3, FALSE), "Lỗi mã khu vực")</f>
        <v>75000</v>
      </c>
      <c r="E259" s="7">
        <v>112</v>
      </c>
      <c r="F259" s="1" t="s">
        <v>24</v>
      </c>
    </row>
    <row r="260" spans="1:6" x14ac:dyDescent="0.35">
      <c r="A260" s="4" t="s">
        <v>282</v>
      </c>
      <c r="B260" s="4" t="s">
        <v>11</v>
      </c>
      <c r="C260" s="5">
        <v>1</v>
      </c>
      <c r="D260" s="6">
        <f>IFERROR(VLOOKUP(TRIM(B260), GiaCuoc_Master!$A$2:$C$7, 3, FALSE), "Lỗi mã khu vực")</f>
        <v>55000</v>
      </c>
      <c r="E260" s="5">
        <v>97</v>
      </c>
      <c r="F260" s="4" t="s">
        <v>24</v>
      </c>
    </row>
    <row r="261" spans="1:6" x14ac:dyDescent="0.35">
      <c r="A261" s="1" t="s">
        <v>283</v>
      </c>
      <c r="B261" s="1" t="s">
        <v>3</v>
      </c>
      <c r="C261" s="7">
        <v>3</v>
      </c>
      <c r="D261" s="3">
        <f>IFERROR(VLOOKUP(TRIM(B261), GiaCuoc_Master!$A$2:$C$7, 3, FALSE), "Lỗi mã khu vực")</f>
        <v>22000</v>
      </c>
      <c r="E261" s="7">
        <v>93</v>
      </c>
      <c r="F261" s="1" t="s">
        <v>24</v>
      </c>
    </row>
    <row r="262" spans="1:6" x14ac:dyDescent="0.35">
      <c r="A262" s="4" t="s">
        <v>284</v>
      </c>
      <c r="B262" s="4" t="s">
        <v>9</v>
      </c>
      <c r="C262" s="5">
        <v>3</v>
      </c>
      <c r="D262" s="6">
        <f>IFERROR(VLOOKUP(TRIM(B262), GiaCuoc_Master!$A$2:$C$7, 3, FALSE), "Lỗi mã khu vực")</f>
        <v>40000</v>
      </c>
      <c r="E262" s="5">
        <v>33</v>
      </c>
      <c r="F262" s="4" t="s">
        <v>21</v>
      </c>
    </row>
    <row r="263" spans="1:6" x14ac:dyDescent="0.35">
      <c r="A263" s="1" t="s">
        <v>285</v>
      </c>
      <c r="B263" s="1" t="s">
        <v>11</v>
      </c>
      <c r="C263" s="7">
        <v>3</v>
      </c>
      <c r="D263" s="3">
        <f>IFERROR(VLOOKUP(TRIM(B263), GiaCuoc_Master!$A$2:$C$7, 3, FALSE), "Lỗi mã khu vực")</f>
        <v>55000</v>
      </c>
      <c r="E263" s="7">
        <v>26</v>
      </c>
      <c r="F263" s="1" t="s">
        <v>21</v>
      </c>
    </row>
    <row r="264" spans="1:6" x14ac:dyDescent="0.35">
      <c r="A264" s="4" t="s">
        <v>286</v>
      </c>
      <c r="B264" s="4" t="s">
        <v>9</v>
      </c>
      <c r="C264" s="5">
        <v>5</v>
      </c>
      <c r="D264" s="6">
        <f>IFERROR(VLOOKUP(TRIM(B264), GiaCuoc_Master!$A$2:$C$7, 3, FALSE), "Lỗi mã khu vực")</f>
        <v>40000</v>
      </c>
      <c r="E264" s="5">
        <v>38</v>
      </c>
      <c r="F264" s="4" t="s">
        <v>21</v>
      </c>
    </row>
    <row r="265" spans="1:6" x14ac:dyDescent="0.35">
      <c r="A265" s="1" t="s">
        <v>287</v>
      </c>
      <c r="B265" s="1" t="s">
        <v>9</v>
      </c>
      <c r="C265" s="7">
        <v>3</v>
      </c>
      <c r="D265" s="3">
        <f>IFERROR(VLOOKUP(TRIM(B265), GiaCuoc_Master!$A$2:$C$7, 3, FALSE), "Lỗi mã khu vực")</f>
        <v>40000</v>
      </c>
      <c r="E265" s="7">
        <v>106</v>
      </c>
      <c r="F265" s="1" t="s">
        <v>24</v>
      </c>
    </row>
    <row r="266" spans="1:6" x14ac:dyDescent="0.35">
      <c r="A266" s="4" t="s">
        <v>288</v>
      </c>
      <c r="B266" s="4" t="s">
        <v>9</v>
      </c>
      <c r="C266" s="5">
        <v>1.5</v>
      </c>
      <c r="D266" s="6">
        <f>IFERROR(VLOOKUP(TRIM(B266), GiaCuoc_Master!$A$2:$C$7, 3, FALSE), "Lỗi mã khu vực")</f>
        <v>40000</v>
      </c>
      <c r="E266" s="5">
        <v>80</v>
      </c>
      <c r="F266" s="4" t="s">
        <v>21</v>
      </c>
    </row>
    <row r="267" spans="1:6" x14ac:dyDescent="0.35">
      <c r="A267" s="1" t="s">
        <v>289</v>
      </c>
      <c r="B267" s="1" t="s">
        <v>5</v>
      </c>
      <c r="C267" s="7">
        <v>7.5</v>
      </c>
      <c r="D267" s="3">
        <f>IFERROR(VLOOKUP(TRIM(B267), GiaCuoc_Master!$A$2:$C$7, 3, FALSE), "Lỗi mã khu vực")</f>
        <v>35000</v>
      </c>
      <c r="E267" s="7">
        <v>108</v>
      </c>
      <c r="F267" s="1" t="s">
        <v>24</v>
      </c>
    </row>
    <row r="268" spans="1:6" x14ac:dyDescent="0.35">
      <c r="A268" s="4" t="s">
        <v>290</v>
      </c>
      <c r="B268" s="4" t="s">
        <v>7</v>
      </c>
      <c r="C268" s="5">
        <v>10</v>
      </c>
      <c r="D268" s="6">
        <f>IFERROR(VLOOKUP(TRIM(B268), GiaCuoc_Master!$A$2:$C$7, 3, FALSE), "Lỗi mã khu vực")</f>
        <v>25000</v>
      </c>
      <c r="E268" s="5">
        <v>93</v>
      </c>
      <c r="F268" s="4" t="s">
        <v>24</v>
      </c>
    </row>
    <row r="269" spans="1:6" x14ac:dyDescent="0.35">
      <c r="A269" s="1" t="s">
        <v>291</v>
      </c>
      <c r="B269" s="1" t="s">
        <v>9</v>
      </c>
      <c r="C269" s="7">
        <v>5</v>
      </c>
      <c r="D269" s="3">
        <f>IFERROR(VLOOKUP(TRIM(B269), GiaCuoc_Master!$A$2:$C$7, 3, FALSE), "Lỗi mã khu vực")</f>
        <v>40000</v>
      </c>
      <c r="E269" s="7">
        <v>80</v>
      </c>
      <c r="F269" s="1" t="s">
        <v>21</v>
      </c>
    </row>
    <row r="270" spans="1:6" x14ac:dyDescent="0.35">
      <c r="A270" s="4" t="s">
        <v>292</v>
      </c>
      <c r="B270" s="4" t="s">
        <v>13</v>
      </c>
      <c r="C270" s="5">
        <v>10</v>
      </c>
      <c r="D270" s="6">
        <f>IFERROR(VLOOKUP(TRIM(B270), GiaCuoc_Master!$A$2:$C$7, 3, FALSE), "Lỗi mã khu vực")</f>
        <v>75000</v>
      </c>
      <c r="E270" s="5">
        <v>59</v>
      </c>
      <c r="F270" s="4" t="s">
        <v>21</v>
      </c>
    </row>
    <row r="271" spans="1:6" x14ac:dyDescent="0.35">
      <c r="A271" s="1" t="s">
        <v>293</v>
      </c>
      <c r="B271" s="1" t="s">
        <v>7</v>
      </c>
      <c r="C271" s="7">
        <v>2</v>
      </c>
      <c r="D271" s="3">
        <f>IFERROR(VLOOKUP(TRIM(B271), GiaCuoc_Master!$A$2:$C$7, 3, FALSE), "Lỗi mã khu vực")</f>
        <v>25000</v>
      </c>
      <c r="E271" s="7">
        <v>36</v>
      </c>
      <c r="F271" s="1" t="s">
        <v>21</v>
      </c>
    </row>
    <row r="272" spans="1:6" x14ac:dyDescent="0.35">
      <c r="A272" s="4" t="s">
        <v>294</v>
      </c>
      <c r="B272" s="4" t="s">
        <v>7</v>
      </c>
      <c r="C272" s="5">
        <v>5</v>
      </c>
      <c r="D272" s="6">
        <f>IFERROR(VLOOKUP(TRIM(B272), GiaCuoc_Master!$A$2:$C$7, 3, FALSE), "Lỗi mã khu vực")</f>
        <v>25000</v>
      </c>
      <c r="E272" s="5">
        <v>56</v>
      </c>
      <c r="F272" s="4" t="s">
        <v>21</v>
      </c>
    </row>
    <row r="273" spans="1:6" x14ac:dyDescent="0.35">
      <c r="A273" s="1" t="s">
        <v>295</v>
      </c>
      <c r="B273" s="1" t="s">
        <v>9</v>
      </c>
      <c r="C273" s="7">
        <v>10</v>
      </c>
      <c r="D273" s="3">
        <f>IFERROR(VLOOKUP(TRIM(B273), GiaCuoc_Master!$A$2:$C$7, 3, FALSE), "Lỗi mã khu vực")</f>
        <v>40000</v>
      </c>
      <c r="E273" s="7">
        <v>103</v>
      </c>
      <c r="F273" s="1" t="s">
        <v>24</v>
      </c>
    </row>
    <row r="274" spans="1:6" x14ac:dyDescent="0.35">
      <c r="A274" s="4" t="s">
        <v>296</v>
      </c>
      <c r="B274" s="4" t="s">
        <v>13</v>
      </c>
      <c r="C274" s="5">
        <v>4</v>
      </c>
      <c r="D274" s="6">
        <f>IFERROR(VLOOKUP(TRIM(B274), GiaCuoc_Master!$A$2:$C$7, 3, FALSE), "Lỗi mã khu vực")</f>
        <v>75000</v>
      </c>
      <c r="E274" s="5">
        <v>68</v>
      </c>
      <c r="F274" s="4" t="s">
        <v>21</v>
      </c>
    </row>
    <row r="275" spans="1:6" x14ac:dyDescent="0.35">
      <c r="A275" s="1" t="s">
        <v>297</v>
      </c>
      <c r="B275" s="1" t="s">
        <v>3</v>
      </c>
      <c r="C275" s="7">
        <v>5</v>
      </c>
      <c r="D275" s="3">
        <f>IFERROR(VLOOKUP(TRIM(B275), GiaCuoc_Master!$A$2:$C$7, 3, FALSE), "Lỗi mã khu vực")</f>
        <v>22000</v>
      </c>
      <c r="E275" s="7">
        <v>66</v>
      </c>
      <c r="F275" s="1" t="s">
        <v>21</v>
      </c>
    </row>
    <row r="276" spans="1:6" x14ac:dyDescent="0.35">
      <c r="A276" s="4" t="s">
        <v>298</v>
      </c>
      <c r="B276" s="4" t="s">
        <v>5</v>
      </c>
      <c r="C276" s="5">
        <v>5</v>
      </c>
      <c r="D276" s="6">
        <f>IFERROR(VLOOKUP(TRIM(B276), GiaCuoc_Master!$A$2:$C$7, 3, FALSE), "Lỗi mã khu vực")</f>
        <v>35000</v>
      </c>
      <c r="E276" s="5">
        <v>52</v>
      </c>
      <c r="F276" s="4" t="s">
        <v>21</v>
      </c>
    </row>
    <row r="277" spans="1:6" x14ac:dyDescent="0.35">
      <c r="A277" s="1" t="s">
        <v>299</v>
      </c>
      <c r="B277" s="1" t="s">
        <v>7</v>
      </c>
      <c r="C277" s="7">
        <v>2.5</v>
      </c>
      <c r="D277" s="3">
        <f>IFERROR(VLOOKUP(TRIM(B277), GiaCuoc_Master!$A$2:$C$7, 3, FALSE), "Lỗi mã khu vực")</f>
        <v>25000</v>
      </c>
      <c r="E277" s="7">
        <v>68</v>
      </c>
      <c r="F277" s="1" t="s">
        <v>21</v>
      </c>
    </row>
    <row r="278" spans="1:6" x14ac:dyDescent="0.35">
      <c r="A278" s="4" t="s">
        <v>300</v>
      </c>
      <c r="B278" s="4" t="s">
        <v>7</v>
      </c>
      <c r="C278" s="5">
        <v>10</v>
      </c>
      <c r="D278" s="6">
        <f>IFERROR(VLOOKUP(TRIM(B278), GiaCuoc_Master!$A$2:$C$7, 3, FALSE), "Lỗi mã khu vực")</f>
        <v>25000</v>
      </c>
      <c r="E278" s="5">
        <v>114</v>
      </c>
      <c r="F278" s="4" t="s">
        <v>24</v>
      </c>
    </row>
    <row r="279" spans="1:6" x14ac:dyDescent="0.35">
      <c r="A279" s="1" t="s">
        <v>301</v>
      </c>
      <c r="B279" s="1" t="s">
        <v>7</v>
      </c>
      <c r="C279" s="7">
        <v>7.5</v>
      </c>
      <c r="D279" s="3">
        <f>IFERROR(VLOOKUP(TRIM(B279), GiaCuoc_Master!$A$2:$C$7, 3, FALSE), "Lỗi mã khu vực")</f>
        <v>25000</v>
      </c>
      <c r="E279" s="7">
        <v>26</v>
      </c>
      <c r="F279" s="1" t="s">
        <v>21</v>
      </c>
    </row>
    <row r="280" spans="1:6" x14ac:dyDescent="0.35">
      <c r="A280" s="4" t="s">
        <v>302</v>
      </c>
      <c r="B280" s="4" t="s">
        <v>11</v>
      </c>
      <c r="C280" s="5">
        <v>2</v>
      </c>
      <c r="D280" s="6">
        <f>IFERROR(VLOOKUP(TRIM(B280), GiaCuoc_Master!$A$2:$C$7, 3, FALSE), "Lỗi mã khu vực")</f>
        <v>55000</v>
      </c>
      <c r="E280" s="5">
        <v>35</v>
      </c>
      <c r="F280" s="4" t="s">
        <v>21</v>
      </c>
    </row>
    <row r="281" spans="1:6" x14ac:dyDescent="0.35">
      <c r="A281" s="1" t="s">
        <v>303</v>
      </c>
      <c r="B281" s="1" t="s">
        <v>5</v>
      </c>
      <c r="C281" s="7">
        <v>4</v>
      </c>
      <c r="D281" s="3">
        <f>IFERROR(VLOOKUP(TRIM(B281), GiaCuoc_Master!$A$2:$C$7, 3, FALSE), "Lỗi mã khu vực")</f>
        <v>35000</v>
      </c>
      <c r="E281" s="7">
        <v>87</v>
      </c>
      <c r="F281" s="1" t="s">
        <v>21</v>
      </c>
    </row>
    <row r="282" spans="1:6" x14ac:dyDescent="0.35">
      <c r="A282" s="4" t="s">
        <v>304</v>
      </c>
      <c r="B282" s="4" t="s">
        <v>11</v>
      </c>
      <c r="C282" s="5">
        <v>2</v>
      </c>
      <c r="D282" s="6">
        <f>IFERROR(VLOOKUP(TRIM(B282), GiaCuoc_Master!$A$2:$C$7, 3, FALSE), "Lỗi mã khu vực")</f>
        <v>55000</v>
      </c>
      <c r="E282" s="5">
        <v>113</v>
      </c>
      <c r="F282" s="4" t="s">
        <v>24</v>
      </c>
    </row>
    <row r="283" spans="1:6" x14ac:dyDescent="0.35">
      <c r="A283" s="1" t="s">
        <v>305</v>
      </c>
      <c r="B283" s="1" t="s">
        <v>9</v>
      </c>
      <c r="C283" s="7">
        <v>5</v>
      </c>
      <c r="D283" s="3">
        <f>IFERROR(VLOOKUP(TRIM(B283), GiaCuoc_Master!$A$2:$C$7, 3, FALSE), "Lỗi mã khu vực")</f>
        <v>40000</v>
      </c>
      <c r="E283" s="7">
        <v>82</v>
      </c>
      <c r="F283" s="1" t="s">
        <v>21</v>
      </c>
    </row>
    <row r="284" spans="1:6" x14ac:dyDescent="0.35">
      <c r="A284" s="4" t="s">
        <v>306</v>
      </c>
      <c r="B284" s="4" t="s">
        <v>3</v>
      </c>
      <c r="C284" s="5">
        <v>1</v>
      </c>
      <c r="D284" s="6">
        <f>IFERROR(VLOOKUP(TRIM(B284), GiaCuoc_Master!$A$2:$C$7, 3, FALSE), "Lỗi mã khu vực")</f>
        <v>22000</v>
      </c>
      <c r="E284" s="5">
        <v>62</v>
      </c>
      <c r="F284" s="4" t="s">
        <v>21</v>
      </c>
    </row>
    <row r="285" spans="1:6" x14ac:dyDescent="0.35">
      <c r="A285" s="1" t="s">
        <v>307</v>
      </c>
      <c r="B285" s="1" t="s">
        <v>5</v>
      </c>
      <c r="C285" s="7">
        <v>4</v>
      </c>
      <c r="D285" s="3">
        <f>IFERROR(VLOOKUP(TRIM(B285), GiaCuoc_Master!$A$2:$C$7, 3, FALSE), "Lỗi mã khu vực")</f>
        <v>35000</v>
      </c>
      <c r="E285" s="7">
        <v>113</v>
      </c>
      <c r="F285" s="1" t="s">
        <v>24</v>
      </c>
    </row>
    <row r="286" spans="1:6" x14ac:dyDescent="0.35">
      <c r="A286" s="4" t="s">
        <v>308</v>
      </c>
      <c r="B286" s="4" t="s">
        <v>5</v>
      </c>
      <c r="C286" s="5">
        <v>2.5</v>
      </c>
      <c r="D286" s="6">
        <f>IFERROR(VLOOKUP(TRIM(B286), GiaCuoc_Master!$A$2:$C$7, 3, FALSE), "Lỗi mã khu vực")</f>
        <v>35000</v>
      </c>
      <c r="E286" s="5">
        <v>109</v>
      </c>
      <c r="F286" s="4" t="s">
        <v>24</v>
      </c>
    </row>
    <row r="287" spans="1:6" x14ac:dyDescent="0.35">
      <c r="A287" s="1" t="s">
        <v>309</v>
      </c>
      <c r="B287" s="1" t="s">
        <v>11</v>
      </c>
      <c r="C287" s="7">
        <v>3</v>
      </c>
      <c r="D287" s="3">
        <f>IFERROR(VLOOKUP(TRIM(B287), GiaCuoc_Master!$A$2:$C$7, 3, FALSE), "Lỗi mã khu vực")</f>
        <v>55000</v>
      </c>
      <c r="E287" s="7">
        <v>85</v>
      </c>
      <c r="F287" s="1" t="s">
        <v>21</v>
      </c>
    </row>
    <row r="288" spans="1:6" x14ac:dyDescent="0.35">
      <c r="A288" s="4" t="s">
        <v>310</v>
      </c>
      <c r="B288" s="4" t="s">
        <v>11</v>
      </c>
      <c r="C288" s="5">
        <v>7.5</v>
      </c>
      <c r="D288" s="6">
        <f>IFERROR(VLOOKUP(TRIM(B288), GiaCuoc_Master!$A$2:$C$7, 3, FALSE), "Lỗi mã khu vực")</f>
        <v>55000</v>
      </c>
      <c r="E288" s="5">
        <v>69</v>
      </c>
      <c r="F288" s="4" t="s">
        <v>21</v>
      </c>
    </row>
    <row r="289" spans="1:6" x14ac:dyDescent="0.35">
      <c r="A289" s="1" t="s">
        <v>311</v>
      </c>
      <c r="B289" s="1" t="s">
        <v>9</v>
      </c>
      <c r="C289" s="7">
        <v>7.5</v>
      </c>
      <c r="D289" s="3">
        <f>IFERROR(VLOOKUP(TRIM(B289), GiaCuoc_Master!$A$2:$C$7, 3, FALSE), "Lỗi mã khu vực")</f>
        <v>40000</v>
      </c>
      <c r="E289" s="7">
        <v>67</v>
      </c>
      <c r="F289" s="1" t="s">
        <v>21</v>
      </c>
    </row>
    <row r="290" spans="1:6" x14ac:dyDescent="0.35">
      <c r="A290" s="4" t="s">
        <v>312</v>
      </c>
      <c r="B290" s="4" t="s">
        <v>7</v>
      </c>
      <c r="C290" s="5">
        <v>5</v>
      </c>
      <c r="D290" s="6">
        <f>IFERROR(VLOOKUP(TRIM(B290), GiaCuoc_Master!$A$2:$C$7, 3, FALSE), "Lỗi mã khu vực")</f>
        <v>25000</v>
      </c>
      <c r="E290" s="5">
        <v>59</v>
      </c>
      <c r="F290" s="4" t="s">
        <v>21</v>
      </c>
    </row>
    <row r="291" spans="1:6" x14ac:dyDescent="0.35">
      <c r="A291" s="1" t="s">
        <v>313</v>
      </c>
      <c r="B291" s="1" t="s">
        <v>7</v>
      </c>
      <c r="C291" s="7">
        <v>2.5</v>
      </c>
      <c r="D291" s="3">
        <f>IFERROR(VLOOKUP(TRIM(B291), GiaCuoc_Master!$A$2:$C$7, 3, FALSE), "Lỗi mã khu vực")</f>
        <v>25000</v>
      </c>
      <c r="E291" s="7">
        <v>54</v>
      </c>
      <c r="F291" s="1" t="s">
        <v>21</v>
      </c>
    </row>
    <row r="292" spans="1:6" x14ac:dyDescent="0.35">
      <c r="A292" s="4" t="s">
        <v>314</v>
      </c>
      <c r="B292" s="4" t="s">
        <v>3</v>
      </c>
      <c r="C292" s="5">
        <v>2</v>
      </c>
      <c r="D292" s="6">
        <f>IFERROR(VLOOKUP(TRIM(B292), GiaCuoc_Master!$A$2:$C$7, 3, FALSE), "Lỗi mã khu vực")</f>
        <v>22000</v>
      </c>
      <c r="E292" s="5">
        <v>65</v>
      </c>
      <c r="F292" s="4" t="s">
        <v>21</v>
      </c>
    </row>
    <row r="293" spans="1:6" x14ac:dyDescent="0.35">
      <c r="A293" s="1" t="s">
        <v>315</v>
      </c>
      <c r="B293" s="1" t="s">
        <v>3</v>
      </c>
      <c r="C293" s="7">
        <v>7.5</v>
      </c>
      <c r="D293" s="3">
        <f>IFERROR(VLOOKUP(TRIM(B293), GiaCuoc_Master!$A$2:$C$7, 3, FALSE), "Lỗi mã khu vực")</f>
        <v>22000</v>
      </c>
      <c r="E293" s="7">
        <v>113</v>
      </c>
      <c r="F293" s="1" t="s">
        <v>24</v>
      </c>
    </row>
    <row r="294" spans="1:6" x14ac:dyDescent="0.35">
      <c r="A294" s="4" t="s">
        <v>316</v>
      </c>
      <c r="B294" s="4" t="s">
        <v>5</v>
      </c>
      <c r="C294" s="5">
        <v>2</v>
      </c>
      <c r="D294" s="6">
        <f>IFERROR(VLOOKUP(TRIM(B294), GiaCuoc_Master!$A$2:$C$7, 3, FALSE), "Lỗi mã khu vực")</f>
        <v>35000</v>
      </c>
      <c r="E294" s="5">
        <v>52</v>
      </c>
      <c r="F294" s="4" t="s">
        <v>21</v>
      </c>
    </row>
    <row r="295" spans="1:6" x14ac:dyDescent="0.35">
      <c r="A295" s="1" t="s">
        <v>317</v>
      </c>
      <c r="B295" s="1" t="s">
        <v>13</v>
      </c>
      <c r="C295" s="7">
        <v>5</v>
      </c>
      <c r="D295" s="3">
        <f>IFERROR(VLOOKUP(TRIM(B295), GiaCuoc_Master!$A$2:$C$7, 3, FALSE), "Lỗi mã khu vực")</f>
        <v>75000</v>
      </c>
      <c r="E295" s="7">
        <v>60</v>
      </c>
      <c r="F295" s="1" t="s">
        <v>21</v>
      </c>
    </row>
    <row r="296" spans="1:6" x14ac:dyDescent="0.35">
      <c r="A296" s="4" t="s">
        <v>318</v>
      </c>
      <c r="B296" s="4" t="s">
        <v>13</v>
      </c>
      <c r="C296" s="5">
        <v>10</v>
      </c>
      <c r="D296" s="6">
        <f>IFERROR(VLOOKUP(TRIM(B296), GiaCuoc_Master!$A$2:$C$7, 3, FALSE), "Lỗi mã khu vực")</f>
        <v>75000</v>
      </c>
      <c r="E296" s="5">
        <v>92</v>
      </c>
      <c r="F296" s="4" t="s">
        <v>24</v>
      </c>
    </row>
    <row r="297" spans="1:6" x14ac:dyDescent="0.35">
      <c r="A297" s="1" t="s">
        <v>319</v>
      </c>
      <c r="B297" s="1" t="s">
        <v>11</v>
      </c>
      <c r="C297" s="7">
        <v>2.5</v>
      </c>
      <c r="D297" s="3">
        <f>IFERROR(VLOOKUP(TRIM(B297), GiaCuoc_Master!$A$2:$C$7, 3, FALSE), "Lỗi mã khu vực")</f>
        <v>55000</v>
      </c>
      <c r="E297" s="7">
        <v>37</v>
      </c>
      <c r="F297" s="1" t="s">
        <v>21</v>
      </c>
    </row>
    <row r="298" spans="1:6" x14ac:dyDescent="0.35">
      <c r="A298" s="4" t="s">
        <v>320</v>
      </c>
      <c r="B298" s="4" t="s">
        <v>5</v>
      </c>
      <c r="C298" s="5">
        <v>2.5</v>
      </c>
      <c r="D298" s="6">
        <f>IFERROR(VLOOKUP(TRIM(B298), GiaCuoc_Master!$A$2:$C$7, 3, FALSE), "Lỗi mã khu vực")</f>
        <v>35000</v>
      </c>
      <c r="E298" s="5">
        <v>54</v>
      </c>
      <c r="F298" s="4" t="s">
        <v>21</v>
      </c>
    </row>
    <row r="299" spans="1:6" x14ac:dyDescent="0.35">
      <c r="A299" s="1" t="s">
        <v>321</v>
      </c>
      <c r="B299" s="1" t="s">
        <v>7</v>
      </c>
      <c r="C299" s="7">
        <v>1.5</v>
      </c>
      <c r="D299" s="3">
        <f>IFERROR(VLOOKUP(TRIM(B299), GiaCuoc_Master!$A$2:$C$7, 3, FALSE), "Lỗi mã khu vực")</f>
        <v>25000</v>
      </c>
      <c r="E299" s="7">
        <v>63</v>
      </c>
      <c r="F299" s="1" t="s">
        <v>21</v>
      </c>
    </row>
    <row r="300" spans="1:6" x14ac:dyDescent="0.35">
      <c r="A300" s="4" t="s">
        <v>322</v>
      </c>
      <c r="B300" s="4" t="s">
        <v>3</v>
      </c>
      <c r="C300" s="5">
        <v>7.5</v>
      </c>
      <c r="D300" s="6">
        <f>IFERROR(VLOOKUP(TRIM(B300), GiaCuoc_Master!$A$2:$C$7, 3, FALSE), "Lỗi mã khu vực")</f>
        <v>22000</v>
      </c>
      <c r="E300" s="5">
        <v>41</v>
      </c>
      <c r="F300" s="4" t="s">
        <v>21</v>
      </c>
    </row>
    <row r="301" spans="1:6" x14ac:dyDescent="0.35">
      <c r="A301" s="1" t="s">
        <v>323</v>
      </c>
      <c r="B301" s="1" t="s">
        <v>7</v>
      </c>
      <c r="C301" s="7">
        <v>0.5</v>
      </c>
      <c r="D301" s="3">
        <f>IFERROR(VLOOKUP(TRIM(B301), GiaCuoc_Master!$A$2:$C$7, 3, FALSE), "Lỗi mã khu vực")</f>
        <v>25000</v>
      </c>
      <c r="E301" s="7">
        <v>31</v>
      </c>
      <c r="F301" s="1" t="s">
        <v>21</v>
      </c>
    </row>
    <row r="302" spans="1:6" x14ac:dyDescent="0.35">
      <c r="A302" s="4" t="s">
        <v>324</v>
      </c>
      <c r="B302" s="4" t="s">
        <v>11</v>
      </c>
      <c r="C302" s="5">
        <v>2.5</v>
      </c>
      <c r="D302" s="6">
        <f>IFERROR(VLOOKUP(TRIM(B302), GiaCuoc_Master!$A$2:$C$7, 3, FALSE), "Lỗi mã khu vực")</f>
        <v>55000</v>
      </c>
      <c r="E302" s="5">
        <v>114</v>
      </c>
      <c r="F302" s="4" t="s">
        <v>24</v>
      </c>
    </row>
    <row r="303" spans="1:6" x14ac:dyDescent="0.35">
      <c r="A303" s="1" t="s">
        <v>325</v>
      </c>
      <c r="B303" s="1" t="s">
        <v>5</v>
      </c>
      <c r="C303" s="7">
        <v>5</v>
      </c>
      <c r="D303" s="3">
        <f>IFERROR(VLOOKUP(TRIM(B303), GiaCuoc_Master!$A$2:$C$7, 3, FALSE), "Lỗi mã khu vực")</f>
        <v>35000</v>
      </c>
      <c r="E303" s="7">
        <v>38</v>
      </c>
      <c r="F303" s="1" t="s">
        <v>21</v>
      </c>
    </row>
    <row r="304" spans="1:6" x14ac:dyDescent="0.35">
      <c r="A304" s="4" t="s">
        <v>326</v>
      </c>
      <c r="B304" s="4" t="s">
        <v>3</v>
      </c>
      <c r="C304" s="5">
        <v>10</v>
      </c>
      <c r="D304" s="6">
        <f>IFERROR(VLOOKUP(TRIM(B304), GiaCuoc_Master!$A$2:$C$7, 3, FALSE), "Lỗi mã khu vực")</f>
        <v>22000</v>
      </c>
      <c r="E304" s="5">
        <v>61</v>
      </c>
      <c r="F304" s="4" t="s">
        <v>21</v>
      </c>
    </row>
    <row r="305" spans="1:6" x14ac:dyDescent="0.35">
      <c r="A305" s="1" t="s">
        <v>327</v>
      </c>
      <c r="B305" s="1" t="s">
        <v>9</v>
      </c>
      <c r="C305" s="7">
        <v>5</v>
      </c>
      <c r="D305" s="3">
        <f>IFERROR(VLOOKUP(TRIM(B305), GiaCuoc_Master!$A$2:$C$7, 3, FALSE), "Lỗi mã khu vực")</f>
        <v>40000</v>
      </c>
      <c r="E305" s="7">
        <v>81</v>
      </c>
      <c r="F305" s="1" t="s">
        <v>21</v>
      </c>
    </row>
    <row r="306" spans="1:6" x14ac:dyDescent="0.35">
      <c r="A306" s="4" t="s">
        <v>328</v>
      </c>
      <c r="B306" s="4" t="s">
        <v>7</v>
      </c>
      <c r="C306" s="5">
        <v>1.5</v>
      </c>
      <c r="D306" s="6">
        <f>IFERROR(VLOOKUP(TRIM(B306), GiaCuoc_Master!$A$2:$C$7, 3, FALSE), "Lỗi mã khu vực")</f>
        <v>25000</v>
      </c>
      <c r="E306" s="5">
        <v>31</v>
      </c>
      <c r="F306" s="4" t="s">
        <v>21</v>
      </c>
    </row>
    <row r="307" spans="1:6" x14ac:dyDescent="0.35">
      <c r="A307" s="1" t="s">
        <v>329</v>
      </c>
      <c r="B307" s="1" t="s">
        <v>7</v>
      </c>
      <c r="C307" s="7">
        <v>5</v>
      </c>
      <c r="D307" s="3">
        <f>IFERROR(VLOOKUP(TRIM(B307), GiaCuoc_Master!$A$2:$C$7, 3, FALSE), "Lỗi mã khu vực")</f>
        <v>25000</v>
      </c>
      <c r="E307" s="7">
        <v>39</v>
      </c>
      <c r="F307" s="1" t="s">
        <v>21</v>
      </c>
    </row>
    <row r="308" spans="1:6" x14ac:dyDescent="0.35">
      <c r="A308" s="4" t="s">
        <v>330</v>
      </c>
      <c r="B308" s="4" t="s">
        <v>3</v>
      </c>
      <c r="C308" s="5">
        <v>4</v>
      </c>
      <c r="D308" s="6">
        <f>IFERROR(VLOOKUP(TRIM(B308), GiaCuoc_Master!$A$2:$C$7, 3, FALSE), "Lỗi mã khu vực")</f>
        <v>22000</v>
      </c>
      <c r="E308" s="5">
        <v>87</v>
      </c>
      <c r="F308" s="4" t="s">
        <v>21</v>
      </c>
    </row>
    <row r="309" spans="1:6" x14ac:dyDescent="0.35">
      <c r="A309" s="1" t="s">
        <v>331</v>
      </c>
      <c r="B309" s="1" t="s">
        <v>3</v>
      </c>
      <c r="C309" s="7">
        <v>10</v>
      </c>
      <c r="D309" s="3">
        <f>IFERROR(VLOOKUP(TRIM(B309), GiaCuoc_Master!$A$2:$C$7, 3, FALSE), "Lỗi mã khu vực")</f>
        <v>22000</v>
      </c>
      <c r="E309" s="7">
        <v>105</v>
      </c>
      <c r="F309" s="1" t="s">
        <v>24</v>
      </c>
    </row>
    <row r="310" spans="1:6" x14ac:dyDescent="0.35">
      <c r="A310" s="4" t="s">
        <v>332</v>
      </c>
      <c r="B310" s="4" t="s">
        <v>13</v>
      </c>
      <c r="C310" s="5">
        <v>0.5</v>
      </c>
      <c r="D310" s="6">
        <f>IFERROR(VLOOKUP(TRIM(B310), GiaCuoc_Master!$A$2:$C$7, 3, FALSE), "Lỗi mã khu vực")</f>
        <v>75000</v>
      </c>
      <c r="E310" s="5">
        <v>44</v>
      </c>
      <c r="F310" s="4" t="s">
        <v>21</v>
      </c>
    </row>
    <row r="311" spans="1:6" x14ac:dyDescent="0.35">
      <c r="A311" s="1" t="s">
        <v>333</v>
      </c>
      <c r="B311" s="1" t="s">
        <v>5</v>
      </c>
      <c r="C311" s="7">
        <v>10</v>
      </c>
      <c r="D311" s="3">
        <f>IFERROR(VLOOKUP(TRIM(B311), GiaCuoc_Master!$A$2:$C$7, 3, FALSE), "Lỗi mã khu vực")</f>
        <v>35000</v>
      </c>
      <c r="E311" s="7">
        <v>63</v>
      </c>
      <c r="F311" s="1" t="s">
        <v>21</v>
      </c>
    </row>
    <row r="312" spans="1:6" x14ac:dyDescent="0.35">
      <c r="A312" s="4" t="s">
        <v>334</v>
      </c>
      <c r="B312" s="4" t="s">
        <v>3</v>
      </c>
      <c r="C312" s="5">
        <v>2</v>
      </c>
      <c r="D312" s="6">
        <f>IFERROR(VLOOKUP(TRIM(B312), GiaCuoc_Master!$A$2:$C$7, 3, FALSE), "Lỗi mã khu vực")</f>
        <v>22000</v>
      </c>
      <c r="E312" s="5">
        <v>40</v>
      </c>
      <c r="F312" s="4" t="s">
        <v>21</v>
      </c>
    </row>
    <row r="313" spans="1:6" x14ac:dyDescent="0.35">
      <c r="A313" s="1" t="s">
        <v>335</v>
      </c>
      <c r="B313" s="1" t="s">
        <v>11</v>
      </c>
      <c r="C313" s="7">
        <v>4</v>
      </c>
      <c r="D313" s="3">
        <f>IFERROR(VLOOKUP(TRIM(B313), GiaCuoc_Master!$A$2:$C$7, 3, FALSE), "Lỗi mã khu vực")</f>
        <v>55000</v>
      </c>
      <c r="E313" s="7">
        <v>102</v>
      </c>
      <c r="F313" s="1" t="s">
        <v>24</v>
      </c>
    </row>
    <row r="314" spans="1:6" x14ac:dyDescent="0.35">
      <c r="A314" s="4" t="s">
        <v>336</v>
      </c>
      <c r="B314" s="4" t="s">
        <v>11</v>
      </c>
      <c r="C314" s="5">
        <v>10</v>
      </c>
      <c r="D314" s="6">
        <f>IFERROR(VLOOKUP(TRIM(B314), GiaCuoc_Master!$A$2:$C$7, 3, FALSE), "Lỗi mã khu vực")</f>
        <v>55000</v>
      </c>
      <c r="E314" s="5">
        <v>53</v>
      </c>
      <c r="F314" s="4" t="s">
        <v>21</v>
      </c>
    </row>
    <row r="315" spans="1:6" x14ac:dyDescent="0.35">
      <c r="A315" s="1" t="s">
        <v>337</v>
      </c>
      <c r="B315" s="1" t="s">
        <v>11</v>
      </c>
      <c r="C315" s="7">
        <v>4</v>
      </c>
      <c r="D315" s="3">
        <f>IFERROR(VLOOKUP(TRIM(B315), GiaCuoc_Master!$A$2:$C$7, 3, FALSE), "Lỗi mã khu vực")</f>
        <v>55000</v>
      </c>
      <c r="E315" s="7">
        <v>82</v>
      </c>
      <c r="F315" s="1" t="s">
        <v>21</v>
      </c>
    </row>
    <row r="316" spans="1:6" x14ac:dyDescent="0.35">
      <c r="A316" s="4" t="s">
        <v>338</v>
      </c>
      <c r="B316" s="4" t="s">
        <v>9</v>
      </c>
      <c r="C316" s="5">
        <v>2.5</v>
      </c>
      <c r="D316" s="6">
        <f>IFERROR(VLOOKUP(TRIM(B316), GiaCuoc_Master!$A$2:$C$7, 3, FALSE), "Lỗi mã khu vực")</f>
        <v>40000</v>
      </c>
      <c r="E316" s="5">
        <v>100</v>
      </c>
      <c r="F316" s="4" t="s">
        <v>24</v>
      </c>
    </row>
    <row r="317" spans="1:6" x14ac:dyDescent="0.35">
      <c r="A317" s="1" t="s">
        <v>339</v>
      </c>
      <c r="B317" s="1" t="s">
        <v>9</v>
      </c>
      <c r="C317" s="7">
        <v>2.5</v>
      </c>
      <c r="D317" s="3">
        <f>IFERROR(VLOOKUP(TRIM(B317), GiaCuoc_Master!$A$2:$C$7, 3, FALSE), "Lỗi mã khu vực")</f>
        <v>40000</v>
      </c>
      <c r="E317" s="7">
        <v>97</v>
      </c>
      <c r="F317" s="1" t="s">
        <v>24</v>
      </c>
    </row>
    <row r="318" spans="1:6" x14ac:dyDescent="0.35">
      <c r="A318" s="4" t="s">
        <v>340</v>
      </c>
      <c r="B318" s="4" t="s">
        <v>11</v>
      </c>
      <c r="C318" s="5">
        <v>0.5</v>
      </c>
      <c r="D318" s="6">
        <f>IFERROR(VLOOKUP(TRIM(B318), GiaCuoc_Master!$A$2:$C$7, 3, FALSE), "Lỗi mã khu vực")</f>
        <v>55000</v>
      </c>
      <c r="E318" s="5">
        <v>103</v>
      </c>
      <c r="F318" s="4" t="s">
        <v>24</v>
      </c>
    </row>
    <row r="319" spans="1:6" x14ac:dyDescent="0.35">
      <c r="A319" s="1" t="s">
        <v>341</v>
      </c>
      <c r="B319" s="1" t="s">
        <v>13</v>
      </c>
      <c r="C319" s="7">
        <v>1</v>
      </c>
      <c r="D319" s="3">
        <f>IFERROR(VLOOKUP(TRIM(B319), GiaCuoc_Master!$A$2:$C$7, 3, FALSE), "Lỗi mã khu vực")</f>
        <v>75000</v>
      </c>
      <c r="E319" s="7">
        <v>51</v>
      </c>
      <c r="F319" s="1" t="s">
        <v>21</v>
      </c>
    </row>
    <row r="320" spans="1:6" x14ac:dyDescent="0.35">
      <c r="A320" s="4" t="s">
        <v>342</v>
      </c>
      <c r="B320" s="4" t="s">
        <v>13</v>
      </c>
      <c r="C320" s="5">
        <v>2</v>
      </c>
      <c r="D320" s="6">
        <f>IFERROR(VLOOKUP(TRIM(B320), GiaCuoc_Master!$A$2:$C$7, 3, FALSE), "Lỗi mã khu vực")</f>
        <v>75000</v>
      </c>
      <c r="E320" s="5">
        <v>58</v>
      </c>
      <c r="F320" s="4" t="s">
        <v>21</v>
      </c>
    </row>
    <row r="321" spans="1:6" x14ac:dyDescent="0.35">
      <c r="A321" s="1" t="s">
        <v>343</v>
      </c>
      <c r="B321" s="1" t="s">
        <v>13</v>
      </c>
      <c r="C321" s="7">
        <v>1</v>
      </c>
      <c r="D321" s="3">
        <f>IFERROR(VLOOKUP(TRIM(B321), GiaCuoc_Master!$A$2:$C$7, 3, FALSE), "Lỗi mã khu vực")</f>
        <v>75000</v>
      </c>
      <c r="E321" s="7">
        <v>45</v>
      </c>
      <c r="F321" s="1" t="s">
        <v>21</v>
      </c>
    </row>
    <row r="322" spans="1:6" x14ac:dyDescent="0.35">
      <c r="A322" s="4" t="s">
        <v>344</v>
      </c>
      <c r="B322" s="4" t="s">
        <v>5</v>
      </c>
      <c r="C322" s="5">
        <v>1.5</v>
      </c>
      <c r="D322" s="6">
        <f>IFERROR(VLOOKUP(TRIM(B322), GiaCuoc_Master!$A$2:$C$7, 3, FALSE), "Lỗi mã khu vực")</f>
        <v>35000</v>
      </c>
      <c r="E322" s="5">
        <v>95</v>
      </c>
      <c r="F322" s="4" t="s">
        <v>24</v>
      </c>
    </row>
    <row r="323" spans="1:6" x14ac:dyDescent="0.35">
      <c r="A323" s="1" t="s">
        <v>345</v>
      </c>
      <c r="B323" s="1" t="s">
        <v>3</v>
      </c>
      <c r="C323" s="7">
        <v>1.5</v>
      </c>
      <c r="D323" s="3">
        <f>IFERROR(VLOOKUP(TRIM(B323), GiaCuoc_Master!$A$2:$C$7, 3, FALSE), "Lỗi mã khu vực")</f>
        <v>22000</v>
      </c>
      <c r="E323" s="7">
        <v>25</v>
      </c>
      <c r="F323" s="1" t="s">
        <v>21</v>
      </c>
    </row>
    <row r="324" spans="1:6" x14ac:dyDescent="0.35">
      <c r="A324" s="4" t="s">
        <v>346</v>
      </c>
      <c r="B324" s="4" t="s">
        <v>9</v>
      </c>
      <c r="C324" s="5">
        <v>5</v>
      </c>
      <c r="D324" s="6">
        <f>IFERROR(VLOOKUP(TRIM(B324), GiaCuoc_Master!$A$2:$C$7, 3, FALSE), "Lỗi mã khu vực")</f>
        <v>40000</v>
      </c>
      <c r="E324" s="5">
        <v>113</v>
      </c>
      <c r="F324" s="4" t="s">
        <v>24</v>
      </c>
    </row>
    <row r="325" spans="1:6" x14ac:dyDescent="0.35">
      <c r="A325" s="1" t="s">
        <v>347</v>
      </c>
      <c r="B325" s="1" t="s">
        <v>11</v>
      </c>
      <c r="C325" s="7">
        <v>5</v>
      </c>
      <c r="D325" s="3">
        <f>IFERROR(VLOOKUP(TRIM(B325), GiaCuoc_Master!$A$2:$C$7, 3, FALSE), "Lỗi mã khu vực")</f>
        <v>55000</v>
      </c>
      <c r="E325" s="7">
        <v>62</v>
      </c>
      <c r="F325" s="1" t="s">
        <v>21</v>
      </c>
    </row>
    <row r="326" spans="1:6" x14ac:dyDescent="0.35">
      <c r="A326" s="4" t="s">
        <v>348</v>
      </c>
      <c r="B326" s="4" t="s">
        <v>3</v>
      </c>
      <c r="C326" s="5">
        <v>2</v>
      </c>
      <c r="D326" s="6">
        <f>IFERROR(VLOOKUP(TRIM(B326), GiaCuoc_Master!$A$2:$C$7, 3, FALSE), "Lỗi mã khu vực")</f>
        <v>22000</v>
      </c>
      <c r="E326" s="5">
        <v>61</v>
      </c>
      <c r="F326" s="4" t="s">
        <v>21</v>
      </c>
    </row>
    <row r="327" spans="1:6" x14ac:dyDescent="0.35">
      <c r="A327" s="1" t="s">
        <v>349</v>
      </c>
      <c r="B327" s="1" t="s">
        <v>13</v>
      </c>
      <c r="C327" s="7">
        <v>2.5</v>
      </c>
      <c r="D327" s="3">
        <f>IFERROR(VLOOKUP(TRIM(B327), GiaCuoc_Master!$A$2:$C$7, 3, FALSE), "Lỗi mã khu vực")</f>
        <v>75000</v>
      </c>
      <c r="E327" s="7">
        <v>114</v>
      </c>
      <c r="F327" s="1" t="s">
        <v>24</v>
      </c>
    </row>
    <row r="328" spans="1:6" x14ac:dyDescent="0.35">
      <c r="A328" s="4" t="s">
        <v>350</v>
      </c>
      <c r="B328" s="4" t="s">
        <v>9</v>
      </c>
      <c r="C328" s="5">
        <v>1</v>
      </c>
      <c r="D328" s="6">
        <f>IFERROR(VLOOKUP(TRIM(B328), GiaCuoc_Master!$A$2:$C$7, 3, FALSE), "Lỗi mã khu vực")</f>
        <v>40000</v>
      </c>
      <c r="E328" s="5">
        <v>112</v>
      </c>
      <c r="F328" s="4" t="s">
        <v>24</v>
      </c>
    </row>
    <row r="329" spans="1:6" x14ac:dyDescent="0.35">
      <c r="A329" s="1" t="s">
        <v>351</v>
      </c>
      <c r="B329" s="1" t="s">
        <v>5</v>
      </c>
      <c r="C329" s="7">
        <v>2.5</v>
      </c>
      <c r="D329" s="3">
        <f>IFERROR(VLOOKUP(TRIM(B329), GiaCuoc_Master!$A$2:$C$7, 3, FALSE), "Lỗi mã khu vực")</f>
        <v>35000</v>
      </c>
      <c r="E329" s="7">
        <v>105</v>
      </c>
      <c r="F329" s="1" t="s">
        <v>24</v>
      </c>
    </row>
    <row r="330" spans="1:6" x14ac:dyDescent="0.35">
      <c r="A330" s="4" t="s">
        <v>352</v>
      </c>
      <c r="B330" s="4" t="s">
        <v>11</v>
      </c>
      <c r="C330" s="5">
        <v>2</v>
      </c>
      <c r="D330" s="6">
        <f>IFERROR(VLOOKUP(TRIM(B330), GiaCuoc_Master!$A$2:$C$7, 3, FALSE), "Lỗi mã khu vực")</f>
        <v>55000</v>
      </c>
      <c r="E330" s="5">
        <v>79</v>
      </c>
      <c r="F330" s="4" t="s">
        <v>21</v>
      </c>
    </row>
    <row r="331" spans="1:6" x14ac:dyDescent="0.35">
      <c r="A331" s="1" t="s">
        <v>353</v>
      </c>
      <c r="B331" s="1" t="s">
        <v>3</v>
      </c>
      <c r="C331" s="7">
        <v>7.5</v>
      </c>
      <c r="D331" s="3">
        <f>IFERROR(VLOOKUP(TRIM(B331), GiaCuoc_Master!$A$2:$C$7, 3, FALSE), "Lỗi mã khu vực")</f>
        <v>22000</v>
      </c>
      <c r="E331" s="7">
        <v>53</v>
      </c>
      <c r="F331" s="1" t="s">
        <v>21</v>
      </c>
    </row>
    <row r="332" spans="1:6" x14ac:dyDescent="0.35">
      <c r="A332" s="4" t="s">
        <v>354</v>
      </c>
      <c r="B332" s="4" t="s">
        <v>13</v>
      </c>
      <c r="C332" s="5">
        <v>1.5</v>
      </c>
      <c r="D332" s="6">
        <f>IFERROR(VLOOKUP(TRIM(B332), GiaCuoc_Master!$A$2:$C$7, 3, FALSE), "Lỗi mã khu vực")</f>
        <v>75000</v>
      </c>
      <c r="E332" s="5">
        <v>59</v>
      </c>
      <c r="F332" s="4" t="s">
        <v>21</v>
      </c>
    </row>
    <row r="333" spans="1:6" x14ac:dyDescent="0.35">
      <c r="A333" s="1" t="s">
        <v>355</v>
      </c>
      <c r="B333" s="1" t="s">
        <v>5</v>
      </c>
      <c r="C333" s="7">
        <v>1</v>
      </c>
      <c r="D333" s="3">
        <f>IFERROR(VLOOKUP(TRIM(B333), GiaCuoc_Master!$A$2:$C$7, 3, FALSE), "Lỗi mã khu vực")</f>
        <v>35000</v>
      </c>
      <c r="E333" s="7">
        <v>32</v>
      </c>
      <c r="F333" s="1" t="s">
        <v>21</v>
      </c>
    </row>
    <row r="334" spans="1:6" x14ac:dyDescent="0.35">
      <c r="A334" s="4" t="s">
        <v>356</v>
      </c>
      <c r="B334" s="4" t="s">
        <v>5</v>
      </c>
      <c r="C334" s="5">
        <v>2.5</v>
      </c>
      <c r="D334" s="6">
        <f>IFERROR(VLOOKUP(TRIM(B334), GiaCuoc_Master!$A$2:$C$7, 3, FALSE), "Lỗi mã khu vực")</f>
        <v>35000</v>
      </c>
      <c r="E334" s="5">
        <v>101</v>
      </c>
      <c r="F334" s="4" t="s">
        <v>24</v>
      </c>
    </row>
    <row r="335" spans="1:6" x14ac:dyDescent="0.35">
      <c r="A335" s="1" t="s">
        <v>357</v>
      </c>
      <c r="B335" s="1" t="s">
        <v>13</v>
      </c>
      <c r="C335" s="7">
        <v>10</v>
      </c>
      <c r="D335" s="3">
        <f>IFERROR(VLOOKUP(TRIM(B335), GiaCuoc_Master!$A$2:$C$7, 3, FALSE), "Lỗi mã khu vực")</f>
        <v>75000</v>
      </c>
      <c r="E335" s="7">
        <v>61</v>
      </c>
      <c r="F335" s="1" t="s">
        <v>21</v>
      </c>
    </row>
    <row r="336" spans="1:6" x14ac:dyDescent="0.35">
      <c r="A336" s="4" t="s">
        <v>358</v>
      </c>
      <c r="B336" s="4" t="s">
        <v>9</v>
      </c>
      <c r="C336" s="5">
        <v>1</v>
      </c>
      <c r="D336" s="6">
        <f>IFERROR(VLOOKUP(TRIM(B336), GiaCuoc_Master!$A$2:$C$7, 3, FALSE), "Lỗi mã khu vực")</f>
        <v>40000</v>
      </c>
      <c r="E336" s="5">
        <v>84</v>
      </c>
      <c r="F336" s="4" t="s">
        <v>21</v>
      </c>
    </row>
    <row r="337" spans="1:6" x14ac:dyDescent="0.35">
      <c r="A337" s="1" t="s">
        <v>359</v>
      </c>
      <c r="B337" s="1" t="s">
        <v>13</v>
      </c>
      <c r="C337" s="7">
        <v>2.5</v>
      </c>
      <c r="D337" s="3">
        <f>IFERROR(VLOOKUP(TRIM(B337), GiaCuoc_Master!$A$2:$C$7, 3, FALSE), "Lỗi mã khu vực")</f>
        <v>75000</v>
      </c>
      <c r="E337" s="7">
        <v>114</v>
      </c>
      <c r="F337" s="1" t="s">
        <v>24</v>
      </c>
    </row>
    <row r="338" spans="1:6" x14ac:dyDescent="0.35">
      <c r="A338" s="4" t="s">
        <v>360</v>
      </c>
      <c r="B338" s="4" t="s">
        <v>9</v>
      </c>
      <c r="C338" s="5">
        <v>2.5</v>
      </c>
      <c r="D338" s="6">
        <f>IFERROR(VLOOKUP(TRIM(B338), GiaCuoc_Master!$A$2:$C$7, 3, FALSE), "Lỗi mã khu vực")</f>
        <v>40000</v>
      </c>
      <c r="E338" s="5">
        <v>89</v>
      </c>
      <c r="F338" s="4" t="s">
        <v>21</v>
      </c>
    </row>
    <row r="339" spans="1:6" x14ac:dyDescent="0.35">
      <c r="A339" s="1" t="s">
        <v>361</v>
      </c>
      <c r="B339" s="1" t="s">
        <v>11</v>
      </c>
      <c r="C339" s="7">
        <v>5</v>
      </c>
      <c r="D339" s="3">
        <f>IFERROR(VLOOKUP(TRIM(B339), GiaCuoc_Master!$A$2:$C$7, 3, FALSE), "Lỗi mã khu vực")</f>
        <v>55000</v>
      </c>
      <c r="E339" s="7">
        <v>81</v>
      </c>
      <c r="F339" s="1" t="s">
        <v>21</v>
      </c>
    </row>
    <row r="340" spans="1:6" x14ac:dyDescent="0.35">
      <c r="A340" s="4" t="s">
        <v>362</v>
      </c>
      <c r="B340" s="4" t="s">
        <v>3</v>
      </c>
      <c r="C340" s="5">
        <v>10</v>
      </c>
      <c r="D340" s="6">
        <f>IFERROR(VLOOKUP(TRIM(B340), GiaCuoc_Master!$A$2:$C$7, 3, FALSE), "Lỗi mã khu vực")</f>
        <v>22000</v>
      </c>
      <c r="E340" s="5">
        <v>30</v>
      </c>
      <c r="F340" s="4" t="s">
        <v>21</v>
      </c>
    </row>
    <row r="341" spans="1:6" x14ac:dyDescent="0.35">
      <c r="A341" s="1" t="s">
        <v>363</v>
      </c>
      <c r="B341" s="1" t="s">
        <v>9</v>
      </c>
      <c r="C341" s="7">
        <v>3</v>
      </c>
      <c r="D341" s="3">
        <f>IFERROR(VLOOKUP(TRIM(B341), GiaCuoc_Master!$A$2:$C$7, 3, FALSE), "Lỗi mã khu vực")</f>
        <v>40000</v>
      </c>
      <c r="E341" s="7">
        <v>102</v>
      </c>
      <c r="F341" s="1" t="s">
        <v>24</v>
      </c>
    </row>
    <row r="342" spans="1:6" x14ac:dyDescent="0.35">
      <c r="A342" s="4" t="s">
        <v>364</v>
      </c>
      <c r="B342" s="4" t="s">
        <v>7</v>
      </c>
      <c r="C342" s="5">
        <v>0.5</v>
      </c>
      <c r="D342" s="6">
        <f>IFERROR(VLOOKUP(TRIM(B342), GiaCuoc_Master!$A$2:$C$7, 3, FALSE), "Lỗi mã khu vực")</f>
        <v>25000</v>
      </c>
      <c r="E342" s="5">
        <v>36</v>
      </c>
      <c r="F342" s="4" t="s">
        <v>21</v>
      </c>
    </row>
    <row r="343" spans="1:6" x14ac:dyDescent="0.35">
      <c r="A343" s="1" t="s">
        <v>365</v>
      </c>
      <c r="B343" s="1" t="s">
        <v>5</v>
      </c>
      <c r="C343" s="7">
        <v>10</v>
      </c>
      <c r="D343" s="3">
        <f>IFERROR(VLOOKUP(TRIM(B343), GiaCuoc_Master!$A$2:$C$7, 3, FALSE), "Lỗi mã khu vực")</f>
        <v>35000</v>
      </c>
      <c r="E343" s="7">
        <v>100</v>
      </c>
      <c r="F343" s="1" t="s">
        <v>24</v>
      </c>
    </row>
    <row r="344" spans="1:6" x14ac:dyDescent="0.35">
      <c r="A344" s="4" t="s">
        <v>366</v>
      </c>
      <c r="B344" s="4" t="s">
        <v>3</v>
      </c>
      <c r="C344" s="5">
        <v>2.5</v>
      </c>
      <c r="D344" s="6">
        <f>IFERROR(VLOOKUP(TRIM(B344), GiaCuoc_Master!$A$2:$C$7, 3, FALSE), "Lỗi mã khu vực")</f>
        <v>22000</v>
      </c>
      <c r="E344" s="5">
        <v>98</v>
      </c>
      <c r="F344" s="4" t="s">
        <v>24</v>
      </c>
    </row>
    <row r="345" spans="1:6" x14ac:dyDescent="0.35">
      <c r="A345" s="1" t="s">
        <v>367</v>
      </c>
      <c r="B345" s="1" t="s">
        <v>3</v>
      </c>
      <c r="C345" s="7">
        <v>1.5</v>
      </c>
      <c r="D345" s="3">
        <f>IFERROR(VLOOKUP(TRIM(B345), GiaCuoc_Master!$A$2:$C$7, 3, FALSE), "Lỗi mã khu vực")</f>
        <v>22000</v>
      </c>
      <c r="E345" s="7">
        <v>85</v>
      </c>
      <c r="F345" s="1" t="s">
        <v>21</v>
      </c>
    </row>
    <row r="346" spans="1:6" x14ac:dyDescent="0.35">
      <c r="A346" s="4" t="s">
        <v>368</v>
      </c>
      <c r="B346" s="4" t="s">
        <v>11</v>
      </c>
      <c r="C346" s="5">
        <v>5</v>
      </c>
      <c r="D346" s="6">
        <f>IFERROR(VLOOKUP(TRIM(B346), GiaCuoc_Master!$A$2:$C$7, 3, FALSE), "Lỗi mã khu vực")</f>
        <v>55000</v>
      </c>
      <c r="E346" s="5">
        <v>60</v>
      </c>
      <c r="F346" s="4" t="s">
        <v>21</v>
      </c>
    </row>
    <row r="347" spans="1:6" x14ac:dyDescent="0.35">
      <c r="A347" s="1" t="s">
        <v>369</v>
      </c>
      <c r="B347" s="1" t="s">
        <v>5</v>
      </c>
      <c r="C347" s="7">
        <v>10</v>
      </c>
      <c r="D347" s="3">
        <f>IFERROR(VLOOKUP(TRIM(B347), GiaCuoc_Master!$A$2:$C$7, 3, FALSE), "Lỗi mã khu vực")</f>
        <v>35000</v>
      </c>
      <c r="E347" s="7">
        <v>80</v>
      </c>
      <c r="F347" s="1" t="s">
        <v>21</v>
      </c>
    </row>
    <row r="348" spans="1:6" x14ac:dyDescent="0.35">
      <c r="A348" s="4" t="s">
        <v>370</v>
      </c>
      <c r="B348" s="4" t="s">
        <v>13</v>
      </c>
      <c r="C348" s="5">
        <v>5</v>
      </c>
      <c r="D348" s="6">
        <f>IFERROR(VLOOKUP(TRIM(B348), GiaCuoc_Master!$A$2:$C$7, 3, FALSE), "Lỗi mã khu vực")</f>
        <v>75000</v>
      </c>
      <c r="E348" s="5">
        <v>36</v>
      </c>
      <c r="F348" s="4" t="s">
        <v>21</v>
      </c>
    </row>
    <row r="349" spans="1:6" x14ac:dyDescent="0.35">
      <c r="A349" s="1" t="s">
        <v>371</v>
      </c>
      <c r="B349" s="1" t="s">
        <v>9</v>
      </c>
      <c r="C349" s="7">
        <v>3</v>
      </c>
      <c r="D349" s="3">
        <f>IFERROR(VLOOKUP(TRIM(B349), GiaCuoc_Master!$A$2:$C$7, 3, FALSE), "Lỗi mã khu vực")</f>
        <v>40000</v>
      </c>
      <c r="E349" s="7">
        <v>77</v>
      </c>
      <c r="F349" s="1" t="s">
        <v>21</v>
      </c>
    </row>
    <row r="350" spans="1:6" x14ac:dyDescent="0.35">
      <c r="A350" s="4" t="s">
        <v>372</v>
      </c>
      <c r="B350" s="4" t="s">
        <v>7</v>
      </c>
      <c r="C350" s="5">
        <v>3</v>
      </c>
      <c r="D350" s="6">
        <f>IFERROR(VLOOKUP(TRIM(B350), GiaCuoc_Master!$A$2:$C$7, 3, FALSE), "Lỗi mã khu vực")</f>
        <v>25000</v>
      </c>
      <c r="E350" s="5">
        <v>110</v>
      </c>
      <c r="F350" s="4" t="s">
        <v>24</v>
      </c>
    </row>
    <row r="351" spans="1:6" x14ac:dyDescent="0.35">
      <c r="A351" s="1" t="s">
        <v>373</v>
      </c>
      <c r="B351" s="1" t="s">
        <v>3</v>
      </c>
      <c r="C351" s="7">
        <v>1.5</v>
      </c>
      <c r="D351" s="3">
        <f>IFERROR(VLOOKUP(TRIM(B351), GiaCuoc_Master!$A$2:$C$7, 3, FALSE), "Lỗi mã khu vực")</f>
        <v>22000</v>
      </c>
      <c r="E351" s="7">
        <v>67</v>
      </c>
      <c r="F351" s="1" t="s">
        <v>21</v>
      </c>
    </row>
    <row r="352" spans="1:6" x14ac:dyDescent="0.35">
      <c r="A352" s="4" t="s">
        <v>374</v>
      </c>
      <c r="B352" s="4" t="s">
        <v>9</v>
      </c>
      <c r="C352" s="5">
        <v>5</v>
      </c>
      <c r="D352" s="6">
        <f>IFERROR(VLOOKUP(TRIM(B352), GiaCuoc_Master!$A$2:$C$7, 3, FALSE), "Lỗi mã khu vực")</f>
        <v>40000</v>
      </c>
      <c r="E352" s="5">
        <v>61</v>
      </c>
      <c r="F352" s="4" t="s">
        <v>21</v>
      </c>
    </row>
    <row r="353" spans="1:6" x14ac:dyDescent="0.35">
      <c r="A353" s="1" t="s">
        <v>375</v>
      </c>
      <c r="B353" s="1" t="s">
        <v>13</v>
      </c>
      <c r="C353" s="7">
        <v>4</v>
      </c>
      <c r="D353" s="3">
        <f>IFERROR(VLOOKUP(TRIM(B353), GiaCuoc_Master!$A$2:$C$7, 3, FALSE), "Lỗi mã khu vực")</f>
        <v>75000</v>
      </c>
      <c r="E353" s="7">
        <v>95</v>
      </c>
      <c r="F353" s="1" t="s">
        <v>24</v>
      </c>
    </row>
    <row r="354" spans="1:6" x14ac:dyDescent="0.35">
      <c r="A354" s="4" t="s">
        <v>376</v>
      </c>
      <c r="B354" s="4" t="s">
        <v>3</v>
      </c>
      <c r="C354" s="5">
        <v>5</v>
      </c>
      <c r="D354" s="6">
        <f>IFERROR(VLOOKUP(TRIM(B354), GiaCuoc_Master!$A$2:$C$7, 3, FALSE), "Lỗi mã khu vực")</f>
        <v>22000</v>
      </c>
      <c r="E354" s="5">
        <v>36</v>
      </c>
      <c r="F354" s="4" t="s">
        <v>21</v>
      </c>
    </row>
    <row r="355" spans="1:6" x14ac:dyDescent="0.35">
      <c r="A355" s="1" t="s">
        <v>377</v>
      </c>
      <c r="B355" s="1" t="s">
        <v>7</v>
      </c>
      <c r="C355" s="7">
        <v>2.5</v>
      </c>
      <c r="D355" s="3">
        <f>IFERROR(VLOOKUP(TRIM(B355), GiaCuoc_Master!$A$2:$C$7, 3, FALSE), "Lỗi mã khu vực")</f>
        <v>25000</v>
      </c>
      <c r="E355" s="7">
        <v>66</v>
      </c>
      <c r="F355" s="1" t="s">
        <v>21</v>
      </c>
    </row>
    <row r="356" spans="1:6" x14ac:dyDescent="0.35">
      <c r="A356" s="4" t="s">
        <v>378</v>
      </c>
      <c r="B356" s="4" t="s">
        <v>3</v>
      </c>
      <c r="C356" s="5">
        <v>4</v>
      </c>
      <c r="D356" s="6">
        <f>IFERROR(VLOOKUP(TRIM(B356), GiaCuoc_Master!$A$2:$C$7, 3, FALSE), "Lỗi mã khu vực")</f>
        <v>22000</v>
      </c>
      <c r="E356" s="5">
        <v>90</v>
      </c>
      <c r="F356" s="4" t="s">
        <v>21</v>
      </c>
    </row>
    <row r="357" spans="1:6" x14ac:dyDescent="0.35">
      <c r="A357" s="1" t="s">
        <v>379</v>
      </c>
      <c r="B357" s="1" t="s">
        <v>3</v>
      </c>
      <c r="C357" s="7">
        <v>7.5</v>
      </c>
      <c r="D357" s="3">
        <f>IFERROR(VLOOKUP(TRIM(B357), GiaCuoc_Master!$A$2:$C$7, 3, FALSE), "Lỗi mã khu vực")</f>
        <v>22000</v>
      </c>
      <c r="E357" s="7">
        <v>84</v>
      </c>
      <c r="F357" s="1" t="s">
        <v>21</v>
      </c>
    </row>
    <row r="358" spans="1:6" x14ac:dyDescent="0.35">
      <c r="A358" s="4" t="s">
        <v>380</v>
      </c>
      <c r="B358" s="4" t="s">
        <v>9</v>
      </c>
      <c r="C358" s="5">
        <v>0.5</v>
      </c>
      <c r="D358" s="6">
        <f>IFERROR(VLOOKUP(TRIM(B358), GiaCuoc_Master!$A$2:$C$7, 3, FALSE), "Lỗi mã khu vực")</f>
        <v>40000</v>
      </c>
      <c r="E358" s="5">
        <v>49</v>
      </c>
      <c r="F358" s="4" t="s">
        <v>21</v>
      </c>
    </row>
    <row r="359" spans="1:6" x14ac:dyDescent="0.35">
      <c r="A359" s="1" t="s">
        <v>381</v>
      </c>
      <c r="B359" s="1" t="s">
        <v>11</v>
      </c>
      <c r="C359" s="7">
        <v>3</v>
      </c>
      <c r="D359" s="3">
        <f>IFERROR(VLOOKUP(TRIM(B359), GiaCuoc_Master!$A$2:$C$7, 3, FALSE), "Lỗi mã khu vực")</f>
        <v>55000</v>
      </c>
      <c r="E359" s="7">
        <v>104</v>
      </c>
      <c r="F359" s="1" t="s">
        <v>24</v>
      </c>
    </row>
    <row r="360" spans="1:6" x14ac:dyDescent="0.35">
      <c r="A360" s="4" t="s">
        <v>382</v>
      </c>
      <c r="B360" s="4" t="s">
        <v>9</v>
      </c>
      <c r="C360" s="5">
        <v>5</v>
      </c>
      <c r="D360" s="6">
        <f>IFERROR(VLOOKUP(TRIM(B360), GiaCuoc_Master!$A$2:$C$7, 3, FALSE), "Lỗi mã khu vực")</f>
        <v>40000</v>
      </c>
      <c r="E360" s="5">
        <v>31</v>
      </c>
      <c r="F360" s="4" t="s">
        <v>21</v>
      </c>
    </row>
    <row r="361" spans="1:6" x14ac:dyDescent="0.35">
      <c r="A361" s="1" t="s">
        <v>383</v>
      </c>
      <c r="B361" s="1" t="s">
        <v>5</v>
      </c>
      <c r="C361" s="7">
        <v>2.5</v>
      </c>
      <c r="D361" s="3">
        <f>IFERROR(VLOOKUP(TRIM(B361), GiaCuoc_Master!$A$2:$C$7, 3, FALSE), "Lỗi mã khu vực")</f>
        <v>35000</v>
      </c>
      <c r="E361" s="7">
        <v>95</v>
      </c>
      <c r="F361" s="1" t="s">
        <v>24</v>
      </c>
    </row>
    <row r="362" spans="1:6" x14ac:dyDescent="0.35">
      <c r="A362" s="4" t="s">
        <v>384</v>
      </c>
      <c r="B362" s="4" t="s">
        <v>5</v>
      </c>
      <c r="C362" s="5">
        <v>2.5</v>
      </c>
      <c r="D362" s="6">
        <f>IFERROR(VLOOKUP(TRIM(B362), GiaCuoc_Master!$A$2:$C$7, 3, FALSE), "Lỗi mã khu vực")</f>
        <v>35000</v>
      </c>
      <c r="E362" s="5">
        <v>81</v>
      </c>
      <c r="F362" s="4" t="s">
        <v>21</v>
      </c>
    </row>
    <row r="363" spans="1:6" x14ac:dyDescent="0.35">
      <c r="A363" s="1" t="s">
        <v>385</v>
      </c>
      <c r="B363" s="1" t="s">
        <v>13</v>
      </c>
      <c r="C363" s="7">
        <v>5</v>
      </c>
      <c r="D363" s="3">
        <f>IFERROR(VLOOKUP(TRIM(B363), GiaCuoc_Master!$A$2:$C$7, 3, FALSE), "Lỗi mã khu vực")</f>
        <v>75000</v>
      </c>
      <c r="E363" s="7">
        <v>40</v>
      </c>
      <c r="F363" s="1" t="s">
        <v>21</v>
      </c>
    </row>
    <row r="364" spans="1:6" x14ac:dyDescent="0.35">
      <c r="A364" s="4" t="s">
        <v>386</v>
      </c>
      <c r="B364" s="4" t="s">
        <v>3</v>
      </c>
      <c r="C364" s="5">
        <v>10</v>
      </c>
      <c r="D364" s="6">
        <f>IFERROR(VLOOKUP(TRIM(B364), GiaCuoc_Master!$A$2:$C$7, 3, FALSE), "Lỗi mã khu vực")</f>
        <v>22000</v>
      </c>
      <c r="E364" s="5">
        <v>55</v>
      </c>
      <c r="F364" s="4" t="s">
        <v>21</v>
      </c>
    </row>
    <row r="365" spans="1:6" x14ac:dyDescent="0.35">
      <c r="A365" s="1" t="s">
        <v>387</v>
      </c>
      <c r="B365" s="1" t="s">
        <v>13</v>
      </c>
      <c r="C365" s="7">
        <v>1.5</v>
      </c>
      <c r="D365" s="3">
        <f>IFERROR(VLOOKUP(TRIM(B365), GiaCuoc_Master!$A$2:$C$7, 3, FALSE), "Lỗi mã khu vực")</f>
        <v>75000</v>
      </c>
      <c r="E365" s="7">
        <v>64</v>
      </c>
      <c r="F365" s="1" t="s">
        <v>21</v>
      </c>
    </row>
    <row r="366" spans="1:6" x14ac:dyDescent="0.35">
      <c r="A366" s="4" t="s">
        <v>388</v>
      </c>
      <c r="B366" s="4" t="s">
        <v>11</v>
      </c>
      <c r="C366" s="5">
        <v>0.5</v>
      </c>
      <c r="D366" s="6">
        <f>IFERROR(VLOOKUP(TRIM(B366), GiaCuoc_Master!$A$2:$C$7, 3, FALSE), "Lỗi mã khu vực")</f>
        <v>55000</v>
      </c>
      <c r="E366" s="5">
        <v>95</v>
      </c>
      <c r="F366" s="4" t="s">
        <v>24</v>
      </c>
    </row>
    <row r="367" spans="1:6" x14ac:dyDescent="0.35">
      <c r="A367" s="1" t="s">
        <v>389</v>
      </c>
      <c r="B367" s="1" t="s">
        <v>9</v>
      </c>
      <c r="C367" s="7">
        <v>1</v>
      </c>
      <c r="D367" s="3">
        <f>IFERROR(VLOOKUP(TRIM(B367), GiaCuoc_Master!$A$2:$C$7, 3, FALSE), "Lỗi mã khu vực")</f>
        <v>40000</v>
      </c>
      <c r="E367" s="7">
        <v>53</v>
      </c>
      <c r="F367" s="1" t="s">
        <v>21</v>
      </c>
    </row>
    <row r="368" spans="1:6" x14ac:dyDescent="0.35">
      <c r="A368" s="4" t="s">
        <v>390</v>
      </c>
      <c r="B368" s="4" t="s">
        <v>3</v>
      </c>
      <c r="C368" s="5">
        <v>5</v>
      </c>
      <c r="D368" s="6">
        <f>IFERROR(VLOOKUP(TRIM(B368), GiaCuoc_Master!$A$2:$C$7, 3, FALSE), "Lỗi mã khu vực")</f>
        <v>22000</v>
      </c>
      <c r="E368" s="5">
        <v>40</v>
      </c>
      <c r="F368" s="4" t="s">
        <v>21</v>
      </c>
    </row>
    <row r="369" spans="1:6" x14ac:dyDescent="0.35">
      <c r="A369" s="1" t="s">
        <v>391</v>
      </c>
      <c r="B369" s="1" t="s">
        <v>13</v>
      </c>
      <c r="C369" s="7">
        <v>1.5</v>
      </c>
      <c r="D369" s="3">
        <f>IFERROR(VLOOKUP(TRIM(B369), GiaCuoc_Master!$A$2:$C$7, 3, FALSE), "Lỗi mã khu vực")</f>
        <v>75000</v>
      </c>
      <c r="E369" s="7">
        <v>88</v>
      </c>
      <c r="F369" s="1" t="s">
        <v>21</v>
      </c>
    </row>
    <row r="370" spans="1:6" x14ac:dyDescent="0.35">
      <c r="A370" s="4" t="s">
        <v>392</v>
      </c>
      <c r="B370" s="4" t="s">
        <v>13</v>
      </c>
      <c r="C370" s="5">
        <v>2.5</v>
      </c>
      <c r="D370" s="6">
        <f>IFERROR(VLOOKUP(TRIM(B370), GiaCuoc_Master!$A$2:$C$7, 3, FALSE), "Lỗi mã khu vực")</f>
        <v>75000</v>
      </c>
      <c r="E370" s="5">
        <v>90</v>
      </c>
      <c r="F370" s="4" t="s">
        <v>21</v>
      </c>
    </row>
    <row r="371" spans="1:6" x14ac:dyDescent="0.35">
      <c r="A371" s="1" t="s">
        <v>393</v>
      </c>
      <c r="B371" s="1" t="s">
        <v>13</v>
      </c>
      <c r="C371" s="7">
        <v>2.5</v>
      </c>
      <c r="D371" s="3">
        <f>IFERROR(VLOOKUP(TRIM(B371), GiaCuoc_Master!$A$2:$C$7, 3, FALSE), "Lỗi mã khu vực")</f>
        <v>75000</v>
      </c>
      <c r="E371" s="7">
        <v>78</v>
      </c>
      <c r="F371" s="1" t="s">
        <v>21</v>
      </c>
    </row>
    <row r="372" spans="1:6" x14ac:dyDescent="0.35">
      <c r="A372" s="4" t="s">
        <v>394</v>
      </c>
      <c r="B372" s="4" t="s">
        <v>9</v>
      </c>
      <c r="C372" s="5">
        <v>5</v>
      </c>
      <c r="D372" s="6">
        <f>IFERROR(VLOOKUP(TRIM(B372), GiaCuoc_Master!$A$2:$C$7, 3, FALSE), "Lỗi mã khu vực")</f>
        <v>40000</v>
      </c>
      <c r="E372" s="5">
        <v>56</v>
      </c>
      <c r="F372" s="4" t="s">
        <v>21</v>
      </c>
    </row>
    <row r="373" spans="1:6" x14ac:dyDescent="0.35">
      <c r="A373" s="1" t="s">
        <v>395</v>
      </c>
      <c r="B373" s="1" t="s">
        <v>9</v>
      </c>
      <c r="C373" s="7">
        <v>7.5</v>
      </c>
      <c r="D373" s="3">
        <f>IFERROR(VLOOKUP(TRIM(B373), GiaCuoc_Master!$A$2:$C$7, 3, FALSE), "Lỗi mã khu vực")</f>
        <v>40000</v>
      </c>
      <c r="E373" s="7">
        <v>43</v>
      </c>
      <c r="F373" s="1" t="s">
        <v>21</v>
      </c>
    </row>
    <row r="374" spans="1:6" x14ac:dyDescent="0.35">
      <c r="A374" s="4" t="s">
        <v>396</v>
      </c>
      <c r="B374" s="4" t="s">
        <v>9</v>
      </c>
      <c r="C374" s="5">
        <v>2</v>
      </c>
      <c r="D374" s="6">
        <f>IFERROR(VLOOKUP(TRIM(B374), GiaCuoc_Master!$A$2:$C$7, 3, FALSE), "Lỗi mã khu vực")</f>
        <v>40000</v>
      </c>
      <c r="E374" s="5">
        <v>101</v>
      </c>
      <c r="F374" s="4" t="s">
        <v>24</v>
      </c>
    </row>
    <row r="375" spans="1:6" x14ac:dyDescent="0.35">
      <c r="A375" s="1" t="s">
        <v>397</v>
      </c>
      <c r="B375" s="1" t="s">
        <v>11</v>
      </c>
      <c r="C375" s="7">
        <v>1.5</v>
      </c>
      <c r="D375" s="3">
        <f>IFERROR(VLOOKUP(TRIM(B375), GiaCuoc_Master!$A$2:$C$7, 3, FALSE), "Lỗi mã khu vực")</f>
        <v>55000</v>
      </c>
      <c r="E375" s="7">
        <v>33</v>
      </c>
      <c r="F375" s="1" t="s">
        <v>21</v>
      </c>
    </row>
    <row r="376" spans="1:6" x14ac:dyDescent="0.35">
      <c r="A376" s="4" t="s">
        <v>398</v>
      </c>
      <c r="B376" s="4" t="s">
        <v>7</v>
      </c>
      <c r="C376" s="5">
        <v>4</v>
      </c>
      <c r="D376" s="6">
        <f>IFERROR(VLOOKUP(TRIM(B376), GiaCuoc_Master!$A$2:$C$7, 3, FALSE), "Lỗi mã khu vực")</f>
        <v>25000</v>
      </c>
      <c r="E376" s="5">
        <v>68</v>
      </c>
      <c r="F376" s="4" t="s">
        <v>21</v>
      </c>
    </row>
    <row r="377" spans="1:6" x14ac:dyDescent="0.35">
      <c r="A377" s="1" t="s">
        <v>399</v>
      </c>
      <c r="B377" s="1" t="s">
        <v>11</v>
      </c>
      <c r="C377" s="7">
        <v>2.5</v>
      </c>
      <c r="D377" s="3">
        <f>IFERROR(VLOOKUP(TRIM(B377), GiaCuoc_Master!$A$2:$C$7, 3, FALSE), "Lỗi mã khu vực")</f>
        <v>55000</v>
      </c>
      <c r="E377" s="7">
        <v>25</v>
      </c>
      <c r="F377" s="1" t="s">
        <v>21</v>
      </c>
    </row>
    <row r="378" spans="1:6" x14ac:dyDescent="0.35">
      <c r="A378" s="4" t="s">
        <v>400</v>
      </c>
      <c r="B378" s="4" t="s">
        <v>7</v>
      </c>
      <c r="C378" s="5">
        <v>2.5</v>
      </c>
      <c r="D378" s="6">
        <f>IFERROR(VLOOKUP(TRIM(B378), GiaCuoc_Master!$A$2:$C$7, 3, FALSE), "Lỗi mã khu vực")</f>
        <v>25000</v>
      </c>
      <c r="E378" s="5">
        <v>100</v>
      </c>
      <c r="F378" s="4" t="s">
        <v>24</v>
      </c>
    </row>
    <row r="379" spans="1:6" x14ac:dyDescent="0.35">
      <c r="A379" s="1" t="s">
        <v>401</v>
      </c>
      <c r="B379" s="1" t="s">
        <v>11</v>
      </c>
      <c r="C379" s="7">
        <v>5</v>
      </c>
      <c r="D379" s="3">
        <f>IFERROR(VLOOKUP(TRIM(B379), GiaCuoc_Master!$A$2:$C$7, 3, FALSE), "Lỗi mã khu vực")</f>
        <v>55000</v>
      </c>
      <c r="E379" s="7">
        <v>44</v>
      </c>
      <c r="F379" s="1" t="s">
        <v>21</v>
      </c>
    </row>
    <row r="380" spans="1:6" x14ac:dyDescent="0.35">
      <c r="A380" s="4" t="s">
        <v>402</v>
      </c>
      <c r="B380" s="4" t="s">
        <v>9</v>
      </c>
      <c r="C380" s="5">
        <v>7.5</v>
      </c>
      <c r="D380" s="6">
        <f>IFERROR(VLOOKUP(TRIM(B380), GiaCuoc_Master!$A$2:$C$7, 3, FALSE), "Lỗi mã khu vực")</f>
        <v>40000</v>
      </c>
      <c r="E380" s="5">
        <v>86</v>
      </c>
      <c r="F380" s="4" t="s">
        <v>21</v>
      </c>
    </row>
    <row r="381" spans="1:6" x14ac:dyDescent="0.35">
      <c r="A381" s="1" t="s">
        <v>403</v>
      </c>
      <c r="B381" s="1" t="s">
        <v>7</v>
      </c>
      <c r="C381" s="7">
        <v>3</v>
      </c>
      <c r="D381" s="3">
        <f>IFERROR(VLOOKUP(TRIM(B381), GiaCuoc_Master!$A$2:$C$7, 3, FALSE), "Lỗi mã khu vực")</f>
        <v>25000</v>
      </c>
      <c r="E381" s="7">
        <v>95</v>
      </c>
      <c r="F381" s="1" t="s">
        <v>24</v>
      </c>
    </row>
    <row r="382" spans="1:6" x14ac:dyDescent="0.35">
      <c r="A382" s="4" t="s">
        <v>404</v>
      </c>
      <c r="B382" s="4" t="s">
        <v>11</v>
      </c>
      <c r="C382" s="5">
        <v>4</v>
      </c>
      <c r="D382" s="6">
        <f>IFERROR(VLOOKUP(TRIM(B382), GiaCuoc_Master!$A$2:$C$7, 3, FALSE), "Lỗi mã khu vực")</f>
        <v>55000</v>
      </c>
      <c r="E382" s="5">
        <v>83</v>
      </c>
      <c r="F382" s="4" t="s">
        <v>21</v>
      </c>
    </row>
    <row r="383" spans="1:6" x14ac:dyDescent="0.35">
      <c r="A383" s="1" t="s">
        <v>405</v>
      </c>
      <c r="B383" s="1" t="s">
        <v>7</v>
      </c>
      <c r="C383" s="7">
        <v>2</v>
      </c>
      <c r="D383" s="3">
        <f>IFERROR(VLOOKUP(TRIM(B383), GiaCuoc_Master!$A$2:$C$7, 3, FALSE), "Lỗi mã khu vực")</f>
        <v>25000</v>
      </c>
      <c r="E383" s="7">
        <v>114</v>
      </c>
      <c r="F383" s="1" t="s">
        <v>24</v>
      </c>
    </row>
    <row r="384" spans="1:6" x14ac:dyDescent="0.35">
      <c r="A384" s="4" t="s">
        <v>406</v>
      </c>
      <c r="B384" s="4" t="s">
        <v>5</v>
      </c>
      <c r="C384" s="5">
        <v>10</v>
      </c>
      <c r="D384" s="6">
        <f>IFERROR(VLOOKUP(TRIM(B384), GiaCuoc_Master!$A$2:$C$7, 3, FALSE), "Lỗi mã khu vực")</f>
        <v>35000</v>
      </c>
      <c r="E384" s="5">
        <v>74</v>
      </c>
      <c r="F384" s="4" t="s">
        <v>21</v>
      </c>
    </row>
    <row r="385" spans="1:6" x14ac:dyDescent="0.35">
      <c r="A385" s="1" t="s">
        <v>407</v>
      </c>
      <c r="B385" s="1" t="s">
        <v>5</v>
      </c>
      <c r="C385" s="7">
        <v>4</v>
      </c>
      <c r="D385" s="3">
        <f>IFERROR(VLOOKUP(TRIM(B385), GiaCuoc_Master!$A$2:$C$7, 3, FALSE), "Lỗi mã khu vực")</f>
        <v>35000</v>
      </c>
      <c r="E385" s="7">
        <v>30</v>
      </c>
      <c r="F385" s="1" t="s">
        <v>21</v>
      </c>
    </row>
    <row r="386" spans="1:6" x14ac:dyDescent="0.35">
      <c r="A386" s="4" t="s">
        <v>408</v>
      </c>
      <c r="B386" s="4" t="s">
        <v>7</v>
      </c>
      <c r="C386" s="5">
        <v>5</v>
      </c>
      <c r="D386" s="6">
        <f>IFERROR(VLOOKUP(TRIM(B386), GiaCuoc_Master!$A$2:$C$7, 3, FALSE), "Lỗi mã khu vực")</f>
        <v>25000</v>
      </c>
      <c r="E386" s="5">
        <v>115</v>
      </c>
      <c r="F386" s="4" t="s">
        <v>24</v>
      </c>
    </row>
    <row r="387" spans="1:6" x14ac:dyDescent="0.35">
      <c r="A387" s="1" t="s">
        <v>409</v>
      </c>
      <c r="B387" s="1" t="s">
        <v>9</v>
      </c>
      <c r="C387" s="7">
        <v>4</v>
      </c>
      <c r="D387" s="3">
        <f>IFERROR(VLOOKUP(TRIM(B387), GiaCuoc_Master!$A$2:$C$7, 3, FALSE), "Lỗi mã khu vực")</f>
        <v>40000</v>
      </c>
      <c r="E387" s="7">
        <v>109</v>
      </c>
      <c r="F387" s="1" t="s">
        <v>24</v>
      </c>
    </row>
    <row r="388" spans="1:6" x14ac:dyDescent="0.35">
      <c r="A388" s="4" t="s">
        <v>410</v>
      </c>
      <c r="B388" s="4" t="s">
        <v>13</v>
      </c>
      <c r="C388" s="5">
        <v>1.5</v>
      </c>
      <c r="D388" s="6">
        <f>IFERROR(VLOOKUP(TRIM(B388), GiaCuoc_Master!$A$2:$C$7, 3, FALSE), "Lỗi mã khu vực")</f>
        <v>75000</v>
      </c>
      <c r="E388" s="5">
        <v>88</v>
      </c>
      <c r="F388" s="4" t="s">
        <v>21</v>
      </c>
    </row>
    <row r="389" spans="1:6" x14ac:dyDescent="0.35">
      <c r="A389" s="1" t="s">
        <v>411</v>
      </c>
      <c r="B389" s="1" t="s">
        <v>3</v>
      </c>
      <c r="C389" s="7">
        <v>1.5</v>
      </c>
      <c r="D389" s="3">
        <f>IFERROR(VLOOKUP(TRIM(B389), GiaCuoc_Master!$A$2:$C$7, 3, FALSE), "Lỗi mã khu vực")</f>
        <v>22000</v>
      </c>
      <c r="E389" s="7">
        <v>89</v>
      </c>
      <c r="F389" s="1" t="s">
        <v>21</v>
      </c>
    </row>
    <row r="390" spans="1:6" x14ac:dyDescent="0.35">
      <c r="A390" s="4" t="s">
        <v>412</v>
      </c>
      <c r="B390" s="4" t="s">
        <v>11</v>
      </c>
      <c r="C390" s="5">
        <v>3</v>
      </c>
      <c r="D390" s="6">
        <f>IFERROR(VLOOKUP(TRIM(B390), GiaCuoc_Master!$A$2:$C$7, 3, FALSE), "Lỗi mã khu vực")</f>
        <v>55000</v>
      </c>
      <c r="E390" s="5">
        <v>37</v>
      </c>
      <c r="F390" s="4" t="s">
        <v>21</v>
      </c>
    </row>
    <row r="391" spans="1:6" x14ac:dyDescent="0.35">
      <c r="A391" s="1" t="s">
        <v>413</v>
      </c>
      <c r="B391" s="1" t="s">
        <v>9</v>
      </c>
      <c r="C391" s="7">
        <v>1</v>
      </c>
      <c r="D391" s="3">
        <f>IFERROR(VLOOKUP(TRIM(B391), GiaCuoc_Master!$A$2:$C$7, 3, FALSE), "Lỗi mã khu vực")</f>
        <v>40000</v>
      </c>
      <c r="E391" s="7">
        <v>92</v>
      </c>
      <c r="F391" s="1" t="s">
        <v>24</v>
      </c>
    </row>
    <row r="392" spans="1:6" x14ac:dyDescent="0.35">
      <c r="A392" s="4" t="s">
        <v>414</v>
      </c>
      <c r="B392" s="4" t="s">
        <v>9</v>
      </c>
      <c r="C392" s="5">
        <v>0.5</v>
      </c>
      <c r="D392" s="6">
        <f>IFERROR(VLOOKUP(TRIM(B392), GiaCuoc_Master!$A$2:$C$7, 3, FALSE), "Lỗi mã khu vực")</f>
        <v>40000</v>
      </c>
      <c r="E392" s="5">
        <v>117</v>
      </c>
      <c r="F392" s="4" t="s">
        <v>24</v>
      </c>
    </row>
    <row r="393" spans="1:6" x14ac:dyDescent="0.35">
      <c r="A393" s="1" t="s">
        <v>415</v>
      </c>
      <c r="B393" s="1" t="s">
        <v>5</v>
      </c>
      <c r="C393" s="7">
        <v>4</v>
      </c>
      <c r="D393" s="3">
        <f>IFERROR(VLOOKUP(TRIM(B393), GiaCuoc_Master!$A$2:$C$7, 3, FALSE), "Lỗi mã khu vực")</f>
        <v>35000</v>
      </c>
      <c r="E393" s="7">
        <v>108</v>
      </c>
      <c r="F393" s="1" t="s">
        <v>24</v>
      </c>
    </row>
    <row r="394" spans="1:6" x14ac:dyDescent="0.35">
      <c r="A394" s="4" t="s">
        <v>416</v>
      </c>
      <c r="B394" s="4" t="s">
        <v>5</v>
      </c>
      <c r="C394" s="5">
        <v>1</v>
      </c>
      <c r="D394" s="6">
        <f>IFERROR(VLOOKUP(TRIM(B394), GiaCuoc_Master!$A$2:$C$7, 3, FALSE), "Lỗi mã khu vực")</f>
        <v>35000</v>
      </c>
      <c r="E394" s="5">
        <v>85</v>
      </c>
      <c r="F394" s="4" t="s">
        <v>21</v>
      </c>
    </row>
    <row r="395" spans="1:6" x14ac:dyDescent="0.35">
      <c r="A395" s="1" t="s">
        <v>417</v>
      </c>
      <c r="B395" s="1" t="s">
        <v>7</v>
      </c>
      <c r="C395" s="7">
        <v>3</v>
      </c>
      <c r="D395" s="3">
        <f>IFERROR(VLOOKUP(TRIM(B395), GiaCuoc_Master!$A$2:$C$7, 3, FALSE), "Lỗi mã khu vực")</f>
        <v>25000</v>
      </c>
      <c r="E395" s="7">
        <v>104</v>
      </c>
      <c r="F395" s="1" t="s">
        <v>24</v>
      </c>
    </row>
    <row r="396" spans="1:6" x14ac:dyDescent="0.35">
      <c r="A396" s="4" t="s">
        <v>418</v>
      </c>
      <c r="B396" s="4" t="s">
        <v>13</v>
      </c>
      <c r="C396" s="5">
        <v>4</v>
      </c>
      <c r="D396" s="6">
        <f>IFERROR(VLOOKUP(TRIM(B396), GiaCuoc_Master!$A$2:$C$7, 3, FALSE), "Lỗi mã khu vực")</f>
        <v>75000</v>
      </c>
      <c r="E396" s="5">
        <v>108</v>
      </c>
      <c r="F396" s="4" t="s">
        <v>24</v>
      </c>
    </row>
    <row r="397" spans="1:6" x14ac:dyDescent="0.35">
      <c r="A397" s="1" t="s">
        <v>419</v>
      </c>
      <c r="B397" s="1" t="s">
        <v>3</v>
      </c>
      <c r="C397" s="7">
        <v>3</v>
      </c>
      <c r="D397" s="3">
        <f>IFERROR(VLOOKUP(TRIM(B397), GiaCuoc_Master!$A$2:$C$7, 3, FALSE), "Lỗi mã khu vực")</f>
        <v>22000</v>
      </c>
      <c r="E397" s="7">
        <v>111</v>
      </c>
      <c r="F397" s="1" t="s">
        <v>24</v>
      </c>
    </row>
    <row r="398" spans="1:6" x14ac:dyDescent="0.35">
      <c r="A398" s="4" t="s">
        <v>420</v>
      </c>
      <c r="B398" s="4" t="s">
        <v>11</v>
      </c>
      <c r="C398" s="5">
        <v>4</v>
      </c>
      <c r="D398" s="6">
        <f>IFERROR(VLOOKUP(TRIM(B398), GiaCuoc_Master!$A$2:$C$7, 3, FALSE), "Lỗi mã khu vực")</f>
        <v>55000</v>
      </c>
      <c r="E398" s="5">
        <v>65</v>
      </c>
      <c r="F398" s="4" t="s">
        <v>21</v>
      </c>
    </row>
    <row r="399" spans="1:6" x14ac:dyDescent="0.35">
      <c r="A399" s="1" t="s">
        <v>421</v>
      </c>
      <c r="B399" s="1" t="s">
        <v>13</v>
      </c>
      <c r="C399" s="7">
        <v>5</v>
      </c>
      <c r="D399" s="3">
        <f>IFERROR(VLOOKUP(TRIM(B399), GiaCuoc_Master!$A$2:$C$7, 3, FALSE), "Lỗi mã khu vực")</f>
        <v>75000</v>
      </c>
      <c r="E399" s="7">
        <v>94</v>
      </c>
      <c r="F399" s="1" t="s">
        <v>24</v>
      </c>
    </row>
    <row r="400" spans="1:6" x14ac:dyDescent="0.35">
      <c r="A400" s="4" t="s">
        <v>422</v>
      </c>
      <c r="B400" s="4" t="s">
        <v>3</v>
      </c>
      <c r="C400" s="5">
        <v>10</v>
      </c>
      <c r="D400" s="6">
        <f>IFERROR(VLOOKUP(TRIM(B400), GiaCuoc_Master!$A$2:$C$7, 3, FALSE), "Lỗi mã khu vực")</f>
        <v>22000</v>
      </c>
      <c r="E400" s="5">
        <v>33</v>
      </c>
      <c r="F400" s="4" t="s">
        <v>21</v>
      </c>
    </row>
    <row r="401" spans="1:6" x14ac:dyDescent="0.35">
      <c r="A401" s="1" t="s">
        <v>423</v>
      </c>
      <c r="B401" s="1" t="s">
        <v>5</v>
      </c>
      <c r="C401" s="7">
        <v>2.5</v>
      </c>
      <c r="D401" s="3">
        <f>IFERROR(VLOOKUP(TRIM(B401), GiaCuoc_Master!$A$2:$C$7, 3, FALSE), "Lỗi mã khu vực")</f>
        <v>35000</v>
      </c>
      <c r="E401" s="7">
        <v>54</v>
      </c>
      <c r="F401" s="1" t="s">
        <v>21</v>
      </c>
    </row>
    <row r="402" spans="1:6" x14ac:dyDescent="0.35">
      <c r="A402" s="4" t="s">
        <v>424</v>
      </c>
      <c r="B402" s="4" t="s">
        <v>13</v>
      </c>
      <c r="C402" s="5">
        <v>1</v>
      </c>
      <c r="D402" s="6">
        <f>IFERROR(VLOOKUP(TRIM(B402), GiaCuoc_Master!$A$2:$C$7, 3, FALSE), "Lỗi mã khu vực")</f>
        <v>75000</v>
      </c>
      <c r="E402" s="5">
        <v>80</v>
      </c>
      <c r="F402" s="4" t="s">
        <v>21</v>
      </c>
    </row>
    <row r="403" spans="1:6" x14ac:dyDescent="0.35">
      <c r="A403" s="1" t="s">
        <v>425</v>
      </c>
      <c r="B403" s="1" t="s">
        <v>3</v>
      </c>
      <c r="C403" s="7">
        <v>1</v>
      </c>
      <c r="D403" s="3">
        <f>IFERROR(VLOOKUP(TRIM(B403), GiaCuoc_Master!$A$2:$C$7, 3, FALSE), "Lỗi mã khu vực")</f>
        <v>22000</v>
      </c>
      <c r="E403" s="7">
        <v>81</v>
      </c>
      <c r="F403" s="1" t="s">
        <v>21</v>
      </c>
    </row>
    <row r="404" spans="1:6" x14ac:dyDescent="0.35">
      <c r="A404" s="4" t="s">
        <v>426</v>
      </c>
      <c r="B404" s="4" t="s">
        <v>5</v>
      </c>
      <c r="C404" s="5">
        <v>2.5</v>
      </c>
      <c r="D404" s="6">
        <f>IFERROR(VLOOKUP(TRIM(B404), GiaCuoc_Master!$A$2:$C$7, 3, FALSE), "Lỗi mã khu vực")</f>
        <v>35000</v>
      </c>
      <c r="E404" s="5">
        <v>28</v>
      </c>
      <c r="F404" s="4" t="s">
        <v>21</v>
      </c>
    </row>
    <row r="405" spans="1:6" x14ac:dyDescent="0.35">
      <c r="A405" s="1" t="s">
        <v>427</v>
      </c>
      <c r="B405" s="1" t="s">
        <v>3</v>
      </c>
      <c r="C405" s="7">
        <v>3</v>
      </c>
      <c r="D405" s="3">
        <f>IFERROR(VLOOKUP(TRIM(B405), GiaCuoc_Master!$A$2:$C$7, 3, FALSE), "Lỗi mã khu vực")</f>
        <v>22000</v>
      </c>
      <c r="E405" s="7">
        <v>32</v>
      </c>
      <c r="F405" s="1" t="s">
        <v>21</v>
      </c>
    </row>
    <row r="406" spans="1:6" x14ac:dyDescent="0.35">
      <c r="A406" s="4" t="s">
        <v>428</v>
      </c>
      <c r="B406" s="4" t="s">
        <v>7</v>
      </c>
      <c r="C406" s="5">
        <v>3</v>
      </c>
      <c r="D406" s="6">
        <f>IFERROR(VLOOKUP(TRIM(B406), GiaCuoc_Master!$A$2:$C$7, 3, FALSE), "Lỗi mã khu vực")</f>
        <v>25000</v>
      </c>
      <c r="E406" s="5">
        <v>72</v>
      </c>
      <c r="F406" s="4" t="s">
        <v>21</v>
      </c>
    </row>
    <row r="407" spans="1:6" x14ac:dyDescent="0.35">
      <c r="A407" s="1" t="s">
        <v>429</v>
      </c>
      <c r="B407" s="1" t="s">
        <v>9</v>
      </c>
      <c r="C407" s="7">
        <v>1.5</v>
      </c>
      <c r="D407" s="3">
        <f>IFERROR(VLOOKUP(TRIM(B407), GiaCuoc_Master!$A$2:$C$7, 3, FALSE), "Lỗi mã khu vực")</f>
        <v>40000</v>
      </c>
      <c r="E407" s="7">
        <v>56</v>
      </c>
      <c r="F407" s="1" t="s">
        <v>21</v>
      </c>
    </row>
    <row r="408" spans="1:6" x14ac:dyDescent="0.35">
      <c r="A408" s="4" t="s">
        <v>430</v>
      </c>
      <c r="B408" s="4" t="s">
        <v>11</v>
      </c>
      <c r="C408" s="5">
        <v>4</v>
      </c>
      <c r="D408" s="6">
        <f>IFERROR(VLOOKUP(TRIM(B408), GiaCuoc_Master!$A$2:$C$7, 3, FALSE), "Lỗi mã khu vực")</f>
        <v>55000</v>
      </c>
      <c r="E408" s="5">
        <v>97</v>
      </c>
      <c r="F408" s="4" t="s">
        <v>24</v>
      </c>
    </row>
    <row r="409" spans="1:6" x14ac:dyDescent="0.35">
      <c r="A409" s="1" t="s">
        <v>431</v>
      </c>
      <c r="B409" s="1" t="s">
        <v>13</v>
      </c>
      <c r="C409" s="7">
        <v>1.5</v>
      </c>
      <c r="D409" s="3">
        <f>IFERROR(VLOOKUP(TRIM(B409), GiaCuoc_Master!$A$2:$C$7, 3, FALSE), "Lỗi mã khu vực")</f>
        <v>75000</v>
      </c>
      <c r="E409" s="7">
        <v>46</v>
      </c>
      <c r="F409" s="1" t="s">
        <v>21</v>
      </c>
    </row>
    <row r="410" spans="1:6" x14ac:dyDescent="0.35">
      <c r="A410" s="4" t="s">
        <v>432</v>
      </c>
      <c r="B410" s="4" t="s">
        <v>5</v>
      </c>
      <c r="C410" s="5">
        <v>1</v>
      </c>
      <c r="D410" s="6">
        <f>IFERROR(VLOOKUP(TRIM(B410), GiaCuoc_Master!$A$2:$C$7, 3, FALSE), "Lỗi mã khu vực")</f>
        <v>35000</v>
      </c>
      <c r="E410" s="5">
        <v>103</v>
      </c>
      <c r="F410" s="4" t="s">
        <v>24</v>
      </c>
    </row>
    <row r="411" spans="1:6" x14ac:dyDescent="0.35">
      <c r="A411" s="1" t="s">
        <v>433</v>
      </c>
      <c r="B411" s="1" t="s">
        <v>9</v>
      </c>
      <c r="C411" s="7">
        <v>10</v>
      </c>
      <c r="D411" s="3">
        <f>IFERROR(VLOOKUP(TRIM(B411), GiaCuoc_Master!$A$2:$C$7, 3, FALSE), "Lỗi mã khu vực")</f>
        <v>40000</v>
      </c>
      <c r="E411" s="7">
        <v>112</v>
      </c>
      <c r="F411" s="1" t="s">
        <v>24</v>
      </c>
    </row>
    <row r="412" spans="1:6" x14ac:dyDescent="0.35">
      <c r="A412" s="4" t="s">
        <v>434</v>
      </c>
      <c r="B412" s="4" t="s">
        <v>5</v>
      </c>
      <c r="C412" s="5">
        <v>5</v>
      </c>
      <c r="D412" s="6">
        <f>IFERROR(VLOOKUP(TRIM(B412), GiaCuoc_Master!$A$2:$C$7, 3, FALSE), "Lỗi mã khu vực")</f>
        <v>35000</v>
      </c>
      <c r="E412" s="5">
        <v>99</v>
      </c>
      <c r="F412" s="4" t="s">
        <v>24</v>
      </c>
    </row>
    <row r="413" spans="1:6" x14ac:dyDescent="0.35">
      <c r="A413" s="1" t="s">
        <v>435</v>
      </c>
      <c r="B413" s="1" t="s">
        <v>5</v>
      </c>
      <c r="C413" s="7">
        <v>2</v>
      </c>
      <c r="D413" s="3">
        <f>IFERROR(VLOOKUP(TRIM(B413), GiaCuoc_Master!$A$2:$C$7, 3, FALSE), "Lỗi mã khu vực")</f>
        <v>35000</v>
      </c>
      <c r="E413" s="7">
        <v>84</v>
      </c>
      <c r="F413" s="1" t="s">
        <v>21</v>
      </c>
    </row>
    <row r="414" spans="1:6" x14ac:dyDescent="0.35">
      <c r="A414" s="4" t="s">
        <v>436</v>
      </c>
      <c r="B414" s="4" t="s">
        <v>13</v>
      </c>
      <c r="C414" s="5">
        <v>2.5</v>
      </c>
      <c r="D414" s="6">
        <f>IFERROR(VLOOKUP(TRIM(B414), GiaCuoc_Master!$A$2:$C$7, 3, FALSE), "Lỗi mã khu vực")</f>
        <v>75000</v>
      </c>
      <c r="E414" s="5">
        <v>83</v>
      </c>
      <c r="F414" s="4" t="s">
        <v>21</v>
      </c>
    </row>
    <row r="415" spans="1:6" x14ac:dyDescent="0.35">
      <c r="A415" s="1" t="s">
        <v>437</v>
      </c>
      <c r="B415" s="1" t="s">
        <v>7</v>
      </c>
      <c r="C415" s="7">
        <v>0.5</v>
      </c>
      <c r="D415" s="3">
        <f>IFERROR(VLOOKUP(TRIM(B415), GiaCuoc_Master!$A$2:$C$7, 3, FALSE), "Lỗi mã khu vực")</f>
        <v>25000</v>
      </c>
      <c r="E415" s="7">
        <v>84</v>
      </c>
      <c r="F415" s="1" t="s">
        <v>21</v>
      </c>
    </row>
    <row r="416" spans="1:6" x14ac:dyDescent="0.35">
      <c r="A416" s="4" t="s">
        <v>438</v>
      </c>
      <c r="B416" s="4" t="s">
        <v>7</v>
      </c>
      <c r="C416" s="5">
        <v>7.5</v>
      </c>
      <c r="D416" s="6">
        <f>IFERROR(VLOOKUP(TRIM(B416), GiaCuoc_Master!$A$2:$C$7, 3, FALSE), "Lỗi mã khu vực")</f>
        <v>25000</v>
      </c>
      <c r="E416" s="5">
        <v>45</v>
      </c>
      <c r="F416" s="4" t="s">
        <v>21</v>
      </c>
    </row>
    <row r="417" spans="1:6" x14ac:dyDescent="0.35">
      <c r="A417" s="1" t="s">
        <v>439</v>
      </c>
      <c r="B417" s="1" t="s">
        <v>3</v>
      </c>
      <c r="C417" s="7">
        <v>5</v>
      </c>
      <c r="D417" s="3">
        <f>IFERROR(VLOOKUP(TRIM(B417), GiaCuoc_Master!$A$2:$C$7, 3, FALSE), "Lỗi mã khu vực")</f>
        <v>22000</v>
      </c>
      <c r="E417" s="7">
        <v>69</v>
      </c>
      <c r="F417" s="1" t="s">
        <v>21</v>
      </c>
    </row>
    <row r="418" spans="1:6" x14ac:dyDescent="0.35">
      <c r="A418" s="4" t="s">
        <v>440</v>
      </c>
      <c r="B418" s="4" t="s">
        <v>11</v>
      </c>
      <c r="C418" s="5">
        <v>2.5</v>
      </c>
      <c r="D418" s="6">
        <f>IFERROR(VLOOKUP(TRIM(B418), GiaCuoc_Master!$A$2:$C$7, 3, FALSE), "Lỗi mã khu vực")</f>
        <v>55000</v>
      </c>
      <c r="E418" s="5">
        <v>106</v>
      </c>
      <c r="F418" s="4" t="s">
        <v>24</v>
      </c>
    </row>
    <row r="419" spans="1:6" x14ac:dyDescent="0.35">
      <c r="A419" s="1" t="s">
        <v>441</v>
      </c>
      <c r="B419" s="1" t="s">
        <v>9</v>
      </c>
      <c r="C419" s="7">
        <v>2.5</v>
      </c>
      <c r="D419" s="3">
        <f>IFERROR(VLOOKUP(TRIM(B419), GiaCuoc_Master!$A$2:$C$7, 3, FALSE), "Lỗi mã khu vực")</f>
        <v>40000</v>
      </c>
      <c r="E419" s="7">
        <v>83</v>
      </c>
      <c r="F419" s="1" t="s">
        <v>21</v>
      </c>
    </row>
    <row r="420" spans="1:6" x14ac:dyDescent="0.35">
      <c r="A420" s="4" t="s">
        <v>442</v>
      </c>
      <c r="B420" s="4" t="s">
        <v>7</v>
      </c>
      <c r="C420" s="5">
        <v>2</v>
      </c>
      <c r="D420" s="6">
        <f>IFERROR(VLOOKUP(TRIM(B420), GiaCuoc_Master!$A$2:$C$7, 3, FALSE), "Lỗi mã khu vực")</f>
        <v>25000</v>
      </c>
      <c r="E420" s="5">
        <v>74</v>
      </c>
      <c r="F420" s="4" t="s">
        <v>21</v>
      </c>
    </row>
    <row r="421" spans="1:6" x14ac:dyDescent="0.35">
      <c r="A421" s="1" t="s">
        <v>443</v>
      </c>
      <c r="B421" s="1" t="s">
        <v>9</v>
      </c>
      <c r="C421" s="7">
        <v>1</v>
      </c>
      <c r="D421" s="3">
        <f>IFERROR(VLOOKUP(TRIM(B421), GiaCuoc_Master!$A$2:$C$7, 3, FALSE), "Lỗi mã khu vực")</f>
        <v>40000</v>
      </c>
      <c r="E421" s="7">
        <v>55</v>
      </c>
      <c r="F421" s="1" t="s">
        <v>21</v>
      </c>
    </row>
    <row r="422" spans="1:6" x14ac:dyDescent="0.35">
      <c r="A422" s="4" t="s">
        <v>444</v>
      </c>
      <c r="B422" s="4" t="s">
        <v>9</v>
      </c>
      <c r="C422" s="5">
        <v>10</v>
      </c>
      <c r="D422" s="6">
        <f>IFERROR(VLOOKUP(TRIM(B422), GiaCuoc_Master!$A$2:$C$7, 3, FALSE), "Lỗi mã khu vực")</f>
        <v>40000</v>
      </c>
      <c r="E422" s="5">
        <v>70</v>
      </c>
      <c r="F422" s="4" t="s">
        <v>21</v>
      </c>
    </row>
    <row r="423" spans="1:6" x14ac:dyDescent="0.35">
      <c r="A423" s="1" t="s">
        <v>445</v>
      </c>
      <c r="B423" s="1" t="s">
        <v>11</v>
      </c>
      <c r="C423" s="7">
        <v>2.5</v>
      </c>
      <c r="D423" s="3">
        <f>IFERROR(VLOOKUP(TRIM(B423), GiaCuoc_Master!$A$2:$C$7, 3, FALSE), "Lỗi mã khu vực")</f>
        <v>55000</v>
      </c>
      <c r="E423" s="7">
        <v>114</v>
      </c>
      <c r="F423" s="1" t="s">
        <v>24</v>
      </c>
    </row>
    <row r="424" spans="1:6" x14ac:dyDescent="0.35">
      <c r="A424" s="4" t="s">
        <v>446</v>
      </c>
      <c r="B424" s="4" t="s">
        <v>7</v>
      </c>
      <c r="C424" s="5">
        <v>0.5</v>
      </c>
      <c r="D424" s="6">
        <f>IFERROR(VLOOKUP(TRIM(B424), GiaCuoc_Master!$A$2:$C$7, 3, FALSE), "Lỗi mã khu vực")</f>
        <v>25000</v>
      </c>
      <c r="E424" s="5">
        <v>109</v>
      </c>
      <c r="F424" s="4" t="s">
        <v>24</v>
      </c>
    </row>
    <row r="425" spans="1:6" x14ac:dyDescent="0.35">
      <c r="A425" s="1" t="s">
        <v>447</v>
      </c>
      <c r="B425" s="1" t="s">
        <v>9</v>
      </c>
      <c r="C425" s="7">
        <v>2.5</v>
      </c>
      <c r="D425" s="3">
        <f>IFERROR(VLOOKUP(TRIM(B425), GiaCuoc_Master!$A$2:$C$7, 3, FALSE), "Lỗi mã khu vực")</f>
        <v>40000</v>
      </c>
      <c r="E425" s="7">
        <v>26</v>
      </c>
      <c r="F425" s="1" t="s">
        <v>21</v>
      </c>
    </row>
    <row r="426" spans="1:6" x14ac:dyDescent="0.35">
      <c r="A426" s="4" t="s">
        <v>448</v>
      </c>
      <c r="B426" s="4" t="s">
        <v>11</v>
      </c>
      <c r="C426" s="5">
        <v>0.5</v>
      </c>
      <c r="D426" s="6">
        <f>IFERROR(VLOOKUP(TRIM(B426), GiaCuoc_Master!$A$2:$C$7, 3, FALSE), "Lỗi mã khu vực")</f>
        <v>55000</v>
      </c>
      <c r="E426" s="5">
        <v>102</v>
      </c>
      <c r="F426" s="4" t="s">
        <v>24</v>
      </c>
    </row>
    <row r="427" spans="1:6" x14ac:dyDescent="0.35">
      <c r="A427" s="1" t="s">
        <v>449</v>
      </c>
      <c r="B427" s="1" t="s">
        <v>13</v>
      </c>
      <c r="C427" s="7">
        <v>5</v>
      </c>
      <c r="D427" s="3">
        <f>IFERROR(VLOOKUP(TRIM(B427), GiaCuoc_Master!$A$2:$C$7, 3, FALSE), "Lỗi mã khu vực")</f>
        <v>75000</v>
      </c>
      <c r="E427" s="7">
        <v>61</v>
      </c>
      <c r="F427" s="1" t="s">
        <v>21</v>
      </c>
    </row>
    <row r="428" spans="1:6" x14ac:dyDescent="0.35">
      <c r="A428" s="4" t="s">
        <v>450</v>
      </c>
      <c r="B428" s="4" t="s">
        <v>5</v>
      </c>
      <c r="C428" s="5">
        <v>10</v>
      </c>
      <c r="D428" s="6">
        <f>IFERROR(VLOOKUP(TRIM(B428), GiaCuoc_Master!$A$2:$C$7, 3, FALSE), "Lỗi mã khu vực")</f>
        <v>35000</v>
      </c>
      <c r="E428" s="5">
        <v>70</v>
      </c>
      <c r="F428" s="4" t="s">
        <v>21</v>
      </c>
    </row>
    <row r="429" spans="1:6" x14ac:dyDescent="0.35">
      <c r="A429" s="1" t="s">
        <v>451</v>
      </c>
      <c r="B429" s="1" t="s">
        <v>5</v>
      </c>
      <c r="C429" s="7">
        <v>2</v>
      </c>
      <c r="D429" s="3">
        <f>IFERROR(VLOOKUP(TRIM(B429), GiaCuoc_Master!$A$2:$C$7, 3, FALSE), "Lỗi mã khu vực")</f>
        <v>35000</v>
      </c>
      <c r="E429" s="7">
        <v>104</v>
      </c>
      <c r="F429" s="1" t="s">
        <v>24</v>
      </c>
    </row>
    <row r="430" spans="1:6" x14ac:dyDescent="0.35">
      <c r="A430" s="4" t="s">
        <v>452</v>
      </c>
      <c r="B430" s="4" t="s">
        <v>7</v>
      </c>
      <c r="C430" s="5">
        <v>1.5</v>
      </c>
      <c r="D430" s="6">
        <f>IFERROR(VLOOKUP(TRIM(B430), GiaCuoc_Master!$A$2:$C$7, 3, FALSE), "Lỗi mã khu vực")</f>
        <v>25000</v>
      </c>
      <c r="E430" s="5">
        <v>105</v>
      </c>
      <c r="F430" s="4" t="s">
        <v>24</v>
      </c>
    </row>
    <row r="431" spans="1:6" x14ac:dyDescent="0.35">
      <c r="A431" s="1" t="s">
        <v>453</v>
      </c>
      <c r="B431" s="1" t="s">
        <v>3</v>
      </c>
      <c r="C431" s="7">
        <v>0.5</v>
      </c>
      <c r="D431" s="3">
        <f>IFERROR(VLOOKUP(TRIM(B431), GiaCuoc_Master!$A$2:$C$7, 3, FALSE), "Lỗi mã khu vực")</f>
        <v>22000</v>
      </c>
      <c r="E431" s="7">
        <v>64</v>
      </c>
      <c r="F431" s="1" t="s">
        <v>21</v>
      </c>
    </row>
    <row r="432" spans="1:6" x14ac:dyDescent="0.35">
      <c r="A432" s="4" t="s">
        <v>454</v>
      </c>
      <c r="B432" s="4" t="s">
        <v>9</v>
      </c>
      <c r="C432" s="5">
        <v>0.5</v>
      </c>
      <c r="D432" s="6">
        <f>IFERROR(VLOOKUP(TRIM(B432), GiaCuoc_Master!$A$2:$C$7, 3, FALSE), "Lỗi mã khu vực")</f>
        <v>40000</v>
      </c>
      <c r="E432" s="5">
        <v>99</v>
      </c>
      <c r="F432" s="4" t="s">
        <v>24</v>
      </c>
    </row>
    <row r="433" spans="1:6" x14ac:dyDescent="0.35">
      <c r="A433" s="1" t="s">
        <v>455</v>
      </c>
      <c r="B433" s="1" t="s">
        <v>7</v>
      </c>
      <c r="C433" s="7">
        <v>1.5</v>
      </c>
      <c r="D433" s="3">
        <f>IFERROR(VLOOKUP(TRIM(B433), GiaCuoc_Master!$A$2:$C$7, 3, FALSE), "Lỗi mã khu vực")</f>
        <v>25000</v>
      </c>
      <c r="E433" s="7">
        <v>36</v>
      </c>
      <c r="F433" s="1" t="s">
        <v>21</v>
      </c>
    </row>
    <row r="434" spans="1:6" x14ac:dyDescent="0.35">
      <c r="A434" s="4" t="s">
        <v>456</v>
      </c>
      <c r="B434" s="4" t="s">
        <v>7</v>
      </c>
      <c r="C434" s="5">
        <v>3</v>
      </c>
      <c r="D434" s="6">
        <f>IFERROR(VLOOKUP(TRIM(B434), GiaCuoc_Master!$A$2:$C$7, 3, FALSE), "Lỗi mã khu vực")</f>
        <v>25000</v>
      </c>
      <c r="E434" s="5">
        <v>120</v>
      </c>
      <c r="F434" s="4" t="s">
        <v>24</v>
      </c>
    </row>
    <row r="435" spans="1:6" x14ac:dyDescent="0.35">
      <c r="A435" s="1" t="s">
        <v>457</v>
      </c>
      <c r="B435" s="1" t="s">
        <v>9</v>
      </c>
      <c r="C435" s="7">
        <v>1.5</v>
      </c>
      <c r="D435" s="3">
        <f>IFERROR(VLOOKUP(TRIM(B435), GiaCuoc_Master!$A$2:$C$7, 3, FALSE), "Lỗi mã khu vực")</f>
        <v>40000</v>
      </c>
      <c r="E435" s="7">
        <v>50</v>
      </c>
      <c r="F435" s="1" t="s">
        <v>21</v>
      </c>
    </row>
    <row r="436" spans="1:6" x14ac:dyDescent="0.35">
      <c r="A436" s="4" t="s">
        <v>458</v>
      </c>
      <c r="B436" s="4" t="s">
        <v>5</v>
      </c>
      <c r="C436" s="5">
        <v>7.5</v>
      </c>
      <c r="D436" s="6">
        <f>IFERROR(VLOOKUP(TRIM(B436), GiaCuoc_Master!$A$2:$C$7, 3, FALSE), "Lỗi mã khu vực")</f>
        <v>35000</v>
      </c>
      <c r="E436" s="5">
        <v>71</v>
      </c>
      <c r="F436" s="4" t="s">
        <v>21</v>
      </c>
    </row>
    <row r="437" spans="1:6" x14ac:dyDescent="0.35">
      <c r="A437" s="1" t="s">
        <v>459</v>
      </c>
      <c r="B437" s="1" t="s">
        <v>11</v>
      </c>
      <c r="C437" s="7">
        <v>7.5</v>
      </c>
      <c r="D437" s="3">
        <f>IFERROR(VLOOKUP(TRIM(B437), GiaCuoc_Master!$A$2:$C$7, 3, FALSE), "Lỗi mã khu vực")</f>
        <v>55000</v>
      </c>
      <c r="E437" s="7">
        <v>59</v>
      </c>
      <c r="F437" s="1" t="s">
        <v>21</v>
      </c>
    </row>
    <row r="438" spans="1:6" x14ac:dyDescent="0.35">
      <c r="A438" s="4" t="s">
        <v>460</v>
      </c>
      <c r="B438" s="4" t="s">
        <v>5</v>
      </c>
      <c r="C438" s="5">
        <v>2.5</v>
      </c>
      <c r="D438" s="6">
        <f>IFERROR(VLOOKUP(TRIM(B438), GiaCuoc_Master!$A$2:$C$7, 3, FALSE), "Lỗi mã khu vực")</f>
        <v>35000</v>
      </c>
      <c r="E438" s="5">
        <v>86</v>
      </c>
      <c r="F438" s="4" t="s">
        <v>21</v>
      </c>
    </row>
    <row r="439" spans="1:6" x14ac:dyDescent="0.35">
      <c r="A439" s="1" t="s">
        <v>461</v>
      </c>
      <c r="B439" s="1" t="s">
        <v>7</v>
      </c>
      <c r="C439" s="7">
        <v>3</v>
      </c>
      <c r="D439" s="3">
        <f>IFERROR(VLOOKUP(TRIM(B439), GiaCuoc_Master!$A$2:$C$7, 3, FALSE), "Lỗi mã khu vực")</f>
        <v>25000</v>
      </c>
      <c r="E439" s="7">
        <v>39</v>
      </c>
      <c r="F439" s="1" t="s">
        <v>21</v>
      </c>
    </row>
    <row r="440" spans="1:6" x14ac:dyDescent="0.35">
      <c r="A440" s="4" t="s">
        <v>462</v>
      </c>
      <c r="B440" s="4" t="s">
        <v>9</v>
      </c>
      <c r="C440" s="5">
        <v>1</v>
      </c>
      <c r="D440" s="6">
        <f>IFERROR(VLOOKUP(TRIM(B440), GiaCuoc_Master!$A$2:$C$7, 3, FALSE), "Lỗi mã khu vực")</f>
        <v>40000</v>
      </c>
      <c r="E440" s="5">
        <v>43</v>
      </c>
      <c r="F440" s="4" t="s">
        <v>21</v>
      </c>
    </row>
    <row r="441" spans="1:6" x14ac:dyDescent="0.35">
      <c r="A441" s="1" t="s">
        <v>463</v>
      </c>
      <c r="B441" s="1" t="s">
        <v>5</v>
      </c>
      <c r="C441" s="7">
        <v>4</v>
      </c>
      <c r="D441" s="3">
        <f>IFERROR(VLOOKUP(TRIM(B441), GiaCuoc_Master!$A$2:$C$7, 3, FALSE), "Lỗi mã khu vực")</f>
        <v>35000</v>
      </c>
      <c r="E441" s="7">
        <v>96</v>
      </c>
      <c r="F441" s="1" t="s">
        <v>24</v>
      </c>
    </row>
    <row r="442" spans="1:6" x14ac:dyDescent="0.35">
      <c r="A442" s="4" t="s">
        <v>464</v>
      </c>
      <c r="B442" s="4" t="s">
        <v>7</v>
      </c>
      <c r="C442" s="5">
        <v>1</v>
      </c>
      <c r="D442" s="6">
        <f>IFERROR(VLOOKUP(TRIM(B442), GiaCuoc_Master!$A$2:$C$7, 3, FALSE), "Lỗi mã khu vực")</f>
        <v>25000</v>
      </c>
      <c r="E442" s="5">
        <v>75</v>
      </c>
      <c r="F442" s="4" t="s">
        <v>21</v>
      </c>
    </row>
    <row r="443" spans="1:6" x14ac:dyDescent="0.35">
      <c r="A443" s="1" t="s">
        <v>465</v>
      </c>
      <c r="B443" s="1" t="s">
        <v>3</v>
      </c>
      <c r="C443" s="7">
        <v>2.5</v>
      </c>
      <c r="D443" s="3">
        <f>IFERROR(VLOOKUP(TRIM(B443), GiaCuoc_Master!$A$2:$C$7, 3, FALSE), "Lỗi mã khu vực")</f>
        <v>22000</v>
      </c>
      <c r="E443" s="7">
        <v>93</v>
      </c>
      <c r="F443" s="1" t="s">
        <v>24</v>
      </c>
    </row>
    <row r="444" spans="1:6" x14ac:dyDescent="0.35">
      <c r="A444" s="4" t="s">
        <v>466</v>
      </c>
      <c r="B444" s="4" t="s">
        <v>3</v>
      </c>
      <c r="C444" s="5">
        <v>5</v>
      </c>
      <c r="D444" s="6">
        <f>IFERROR(VLOOKUP(TRIM(B444), GiaCuoc_Master!$A$2:$C$7, 3, FALSE), "Lỗi mã khu vực")</f>
        <v>22000</v>
      </c>
      <c r="E444" s="5">
        <v>72</v>
      </c>
      <c r="F444" s="4" t="s">
        <v>21</v>
      </c>
    </row>
    <row r="445" spans="1:6" x14ac:dyDescent="0.35">
      <c r="A445" s="1" t="s">
        <v>467</v>
      </c>
      <c r="B445" s="1" t="s">
        <v>13</v>
      </c>
      <c r="C445" s="7">
        <v>2.5</v>
      </c>
      <c r="D445" s="3">
        <f>IFERROR(VLOOKUP(TRIM(B445), GiaCuoc_Master!$A$2:$C$7, 3, FALSE), "Lỗi mã khu vực")</f>
        <v>75000</v>
      </c>
      <c r="E445" s="7">
        <v>99</v>
      </c>
      <c r="F445" s="1" t="s">
        <v>24</v>
      </c>
    </row>
    <row r="446" spans="1:6" x14ac:dyDescent="0.35">
      <c r="A446" s="4" t="s">
        <v>468</v>
      </c>
      <c r="B446" s="4" t="s">
        <v>9</v>
      </c>
      <c r="C446" s="5">
        <v>3</v>
      </c>
      <c r="D446" s="6">
        <f>IFERROR(VLOOKUP(TRIM(B446), GiaCuoc_Master!$A$2:$C$7, 3, FALSE), "Lỗi mã khu vực")</f>
        <v>40000</v>
      </c>
      <c r="E446" s="5">
        <v>38</v>
      </c>
      <c r="F446" s="4" t="s">
        <v>21</v>
      </c>
    </row>
    <row r="447" spans="1:6" x14ac:dyDescent="0.35">
      <c r="A447" s="1" t="s">
        <v>469</v>
      </c>
      <c r="B447" s="1" t="s">
        <v>13</v>
      </c>
      <c r="C447" s="7">
        <v>2</v>
      </c>
      <c r="D447" s="3">
        <f>IFERROR(VLOOKUP(TRIM(B447), GiaCuoc_Master!$A$2:$C$7, 3, FALSE), "Lỗi mã khu vực")</f>
        <v>75000</v>
      </c>
      <c r="E447" s="7">
        <v>85</v>
      </c>
      <c r="F447" s="1" t="s">
        <v>21</v>
      </c>
    </row>
    <row r="448" spans="1:6" x14ac:dyDescent="0.35">
      <c r="A448" s="4" t="s">
        <v>470</v>
      </c>
      <c r="B448" s="4" t="s">
        <v>3</v>
      </c>
      <c r="C448" s="5">
        <v>10</v>
      </c>
      <c r="D448" s="6">
        <f>IFERROR(VLOOKUP(TRIM(B448), GiaCuoc_Master!$A$2:$C$7, 3, FALSE), "Lỗi mã khu vực")</f>
        <v>22000</v>
      </c>
      <c r="E448" s="5">
        <v>96</v>
      </c>
      <c r="F448" s="4" t="s">
        <v>24</v>
      </c>
    </row>
    <row r="449" spans="1:6" x14ac:dyDescent="0.35">
      <c r="A449" s="1" t="s">
        <v>471</v>
      </c>
      <c r="B449" s="1" t="s">
        <v>7</v>
      </c>
      <c r="C449" s="7">
        <v>10</v>
      </c>
      <c r="D449" s="3">
        <f>IFERROR(VLOOKUP(TRIM(B449), GiaCuoc_Master!$A$2:$C$7, 3, FALSE), "Lỗi mã khu vực")</f>
        <v>25000</v>
      </c>
      <c r="E449" s="7">
        <v>53</v>
      </c>
      <c r="F449" s="1" t="s">
        <v>21</v>
      </c>
    </row>
    <row r="450" spans="1:6" x14ac:dyDescent="0.35">
      <c r="A450" s="4" t="s">
        <v>472</v>
      </c>
      <c r="B450" s="4" t="s">
        <v>13</v>
      </c>
      <c r="C450" s="5">
        <v>1</v>
      </c>
      <c r="D450" s="6">
        <f>IFERROR(VLOOKUP(TRIM(B450), GiaCuoc_Master!$A$2:$C$7, 3, FALSE), "Lỗi mã khu vực")</f>
        <v>75000</v>
      </c>
      <c r="E450" s="5">
        <v>106</v>
      </c>
      <c r="F450" s="4" t="s">
        <v>24</v>
      </c>
    </row>
    <row r="451" spans="1:6" x14ac:dyDescent="0.35">
      <c r="A451" s="1" t="s">
        <v>473</v>
      </c>
      <c r="B451" s="1" t="s">
        <v>9</v>
      </c>
      <c r="C451" s="7">
        <v>2.5</v>
      </c>
      <c r="D451" s="3">
        <f>IFERROR(VLOOKUP(TRIM(B451), GiaCuoc_Master!$A$2:$C$7, 3, FALSE), "Lỗi mã khu vực")</f>
        <v>40000</v>
      </c>
      <c r="E451" s="7">
        <v>108</v>
      </c>
      <c r="F451" s="1" t="s">
        <v>24</v>
      </c>
    </row>
    <row r="452" spans="1:6" x14ac:dyDescent="0.35">
      <c r="A452" s="4" t="s">
        <v>474</v>
      </c>
      <c r="B452" s="4" t="s">
        <v>9</v>
      </c>
      <c r="C452" s="5">
        <v>1</v>
      </c>
      <c r="D452" s="6">
        <f>IFERROR(VLOOKUP(TRIM(B452), GiaCuoc_Master!$A$2:$C$7, 3, FALSE), "Lỗi mã khu vực")</f>
        <v>40000</v>
      </c>
      <c r="E452" s="5">
        <v>42</v>
      </c>
      <c r="F452" s="4" t="s">
        <v>21</v>
      </c>
    </row>
    <row r="453" spans="1:6" x14ac:dyDescent="0.35">
      <c r="A453" s="1" t="s">
        <v>475</v>
      </c>
      <c r="B453" s="1" t="s">
        <v>3</v>
      </c>
      <c r="C453" s="7">
        <v>0.5</v>
      </c>
      <c r="D453" s="3">
        <f>IFERROR(VLOOKUP(TRIM(B453), GiaCuoc_Master!$A$2:$C$7, 3, FALSE), "Lỗi mã khu vực")</f>
        <v>22000</v>
      </c>
      <c r="E453" s="7">
        <v>63</v>
      </c>
      <c r="F453" s="1" t="s">
        <v>21</v>
      </c>
    </row>
    <row r="454" spans="1:6" x14ac:dyDescent="0.35">
      <c r="A454" s="4" t="s">
        <v>476</v>
      </c>
      <c r="B454" s="4" t="s">
        <v>9</v>
      </c>
      <c r="C454" s="5">
        <v>1</v>
      </c>
      <c r="D454" s="6">
        <f>IFERROR(VLOOKUP(TRIM(B454), GiaCuoc_Master!$A$2:$C$7, 3, FALSE), "Lỗi mã khu vực")</f>
        <v>40000</v>
      </c>
      <c r="E454" s="5">
        <v>37</v>
      </c>
      <c r="F454" s="4" t="s">
        <v>21</v>
      </c>
    </row>
    <row r="455" spans="1:6" x14ac:dyDescent="0.35">
      <c r="A455" s="1" t="s">
        <v>477</v>
      </c>
      <c r="B455" s="1" t="s">
        <v>5</v>
      </c>
      <c r="C455" s="7">
        <v>7.5</v>
      </c>
      <c r="D455" s="3">
        <f>IFERROR(VLOOKUP(TRIM(B455), GiaCuoc_Master!$A$2:$C$7, 3, FALSE), "Lỗi mã khu vực")</f>
        <v>35000</v>
      </c>
      <c r="E455" s="7">
        <v>42</v>
      </c>
      <c r="F455" s="1" t="s">
        <v>21</v>
      </c>
    </row>
    <row r="456" spans="1:6" x14ac:dyDescent="0.35">
      <c r="A456" s="4" t="s">
        <v>478</v>
      </c>
      <c r="B456" s="4" t="s">
        <v>9</v>
      </c>
      <c r="C456" s="5">
        <v>5</v>
      </c>
      <c r="D456" s="6">
        <f>IFERROR(VLOOKUP(TRIM(B456), GiaCuoc_Master!$A$2:$C$7, 3, FALSE), "Lỗi mã khu vực")</f>
        <v>40000</v>
      </c>
      <c r="E456" s="5">
        <v>72</v>
      </c>
      <c r="F456" s="4" t="s">
        <v>21</v>
      </c>
    </row>
    <row r="457" spans="1:6" x14ac:dyDescent="0.35">
      <c r="A457" s="1" t="s">
        <v>479</v>
      </c>
      <c r="B457" s="1" t="s">
        <v>13</v>
      </c>
      <c r="C457" s="7">
        <v>7.5</v>
      </c>
      <c r="D457" s="3">
        <f>IFERROR(VLOOKUP(TRIM(B457), GiaCuoc_Master!$A$2:$C$7, 3, FALSE), "Lỗi mã khu vực")</f>
        <v>75000</v>
      </c>
      <c r="E457" s="7">
        <v>78</v>
      </c>
      <c r="F457" s="1" t="s">
        <v>21</v>
      </c>
    </row>
    <row r="458" spans="1:6" x14ac:dyDescent="0.35">
      <c r="A458" s="4" t="s">
        <v>480</v>
      </c>
      <c r="B458" s="4" t="s">
        <v>11</v>
      </c>
      <c r="C458" s="5">
        <v>1.5</v>
      </c>
      <c r="D458" s="6">
        <f>IFERROR(VLOOKUP(TRIM(B458), GiaCuoc_Master!$A$2:$C$7, 3, FALSE), "Lỗi mã khu vực")</f>
        <v>55000</v>
      </c>
      <c r="E458" s="5">
        <v>78</v>
      </c>
      <c r="F458" s="4" t="s">
        <v>21</v>
      </c>
    </row>
    <row r="459" spans="1:6" x14ac:dyDescent="0.35">
      <c r="A459" s="1" t="s">
        <v>481</v>
      </c>
      <c r="B459" s="1" t="s">
        <v>13</v>
      </c>
      <c r="C459" s="7">
        <v>1</v>
      </c>
      <c r="D459" s="3">
        <f>IFERROR(VLOOKUP(TRIM(B459), GiaCuoc_Master!$A$2:$C$7, 3, FALSE), "Lỗi mã khu vực")</f>
        <v>75000</v>
      </c>
      <c r="E459" s="7">
        <v>87</v>
      </c>
      <c r="F459" s="1" t="s">
        <v>21</v>
      </c>
    </row>
    <row r="460" spans="1:6" x14ac:dyDescent="0.35">
      <c r="A460" s="4" t="s">
        <v>482</v>
      </c>
      <c r="B460" s="4" t="s">
        <v>11</v>
      </c>
      <c r="C460" s="5">
        <v>4</v>
      </c>
      <c r="D460" s="6">
        <f>IFERROR(VLOOKUP(TRIM(B460), GiaCuoc_Master!$A$2:$C$7, 3, FALSE), "Lỗi mã khu vực")</f>
        <v>55000</v>
      </c>
      <c r="E460" s="5">
        <v>60</v>
      </c>
      <c r="F460" s="4" t="s">
        <v>21</v>
      </c>
    </row>
    <row r="461" spans="1:6" x14ac:dyDescent="0.35">
      <c r="A461" s="1" t="s">
        <v>483</v>
      </c>
      <c r="B461" s="1" t="s">
        <v>3</v>
      </c>
      <c r="C461" s="7">
        <v>3</v>
      </c>
      <c r="D461" s="3">
        <f>IFERROR(VLOOKUP(TRIM(B461), GiaCuoc_Master!$A$2:$C$7, 3, FALSE), "Lỗi mã khu vực")</f>
        <v>22000</v>
      </c>
      <c r="E461" s="7">
        <v>52</v>
      </c>
      <c r="F461" s="1" t="s">
        <v>21</v>
      </c>
    </row>
    <row r="462" spans="1:6" x14ac:dyDescent="0.35">
      <c r="A462" s="4" t="s">
        <v>484</v>
      </c>
      <c r="B462" s="4" t="s">
        <v>9</v>
      </c>
      <c r="C462" s="5">
        <v>5</v>
      </c>
      <c r="D462" s="6">
        <f>IFERROR(VLOOKUP(TRIM(B462), GiaCuoc_Master!$A$2:$C$7, 3, FALSE), "Lỗi mã khu vực")</f>
        <v>40000</v>
      </c>
      <c r="E462" s="5">
        <v>55</v>
      </c>
      <c r="F462" s="4" t="s">
        <v>21</v>
      </c>
    </row>
    <row r="463" spans="1:6" x14ac:dyDescent="0.35">
      <c r="A463" s="1" t="s">
        <v>485</v>
      </c>
      <c r="B463" s="1" t="s">
        <v>7</v>
      </c>
      <c r="C463" s="7">
        <v>1</v>
      </c>
      <c r="D463" s="3">
        <f>IFERROR(VLOOKUP(TRIM(B463), GiaCuoc_Master!$A$2:$C$7, 3, FALSE), "Lỗi mã khu vực")</f>
        <v>25000</v>
      </c>
      <c r="E463" s="7">
        <v>112</v>
      </c>
      <c r="F463" s="1" t="s">
        <v>24</v>
      </c>
    </row>
    <row r="464" spans="1:6" x14ac:dyDescent="0.35">
      <c r="A464" s="4" t="s">
        <v>486</v>
      </c>
      <c r="B464" s="4" t="s">
        <v>7</v>
      </c>
      <c r="C464" s="5">
        <v>7.5</v>
      </c>
      <c r="D464" s="6">
        <f>IFERROR(VLOOKUP(TRIM(B464), GiaCuoc_Master!$A$2:$C$7, 3, FALSE), "Lỗi mã khu vực")</f>
        <v>25000</v>
      </c>
      <c r="E464" s="5">
        <v>107</v>
      </c>
      <c r="F464" s="4" t="s">
        <v>24</v>
      </c>
    </row>
    <row r="465" spans="1:6" x14ac:dyDescent="0.35">
      <c r="A465" s="1" t="s">
        <v>487</v>
      </c>
      <c r="B465" s="1" t="s">
        <v>7</v>
      </c>
      <c r="C465" s="7">
        <v>0.5</v>
      </c>
      <c r="D465" s="3">
        <f>IFERROR(VLOOKUP(TRIM(B465), GiaCuoc_Master!$A$2:$C$7, 3, FALSE), "Lỗi mã khu vực")</f>
        <v>25000</v>
      </c>
      <c r="E465" s="7">
        <v>75</v>
      </c>
      <c r="F465" s="1" t="s">
        <v>21</v>
      </c>
    </row>
    <row r="466" spans="1:6" x14ac:dyDescent="0.35">
      <c r="A466" s="4" t="s">
        <v>488</v>
      </c>
      <c r="B466" s="4" t="s">
        <v>7</v>
      </c>
      <c r="C466" s="5">
        <v>2</v>
      </c>
      <c r="D466" s="6">
        <f>IFERROR(VLOOKUP(TRIM(B466), GiaCuoc_Master!$A$2:$C$7, 3, FALSE), "Lỗi mã khu vực")</f>
        <v>25000</v>
      </c>
      <c r="E466" s="5">
        <v>40</v>
      </c>
      <c r="F466" s="4" t="s">
        <v>21</v>
      </c>
    </row>
    <row r="467" spans="1:6" x14ac:dyDescent="0.35">
      <c r="A467" s="1" t="s">
        <v>489</v>
      </c>
      <c r="B467" s="1" t="s">
        <v>9</v>
      </c>
      <c r="C467" s="7">
        <v>1</v>
      </c>
      <c r="D467" s="3">
        <f>IFERROR(VLOOKUP(TRIM(B467), GiaCuoc_Master!$A$2:$C$7, 3, FALSE), "Lỗi mã khu vực")</f>
        <v>40000</v>
      </c>
      <c r="E467" s="7">
        <v>109</v>
      </c>
      <c r="F467" s="1" t="s">
        <v>24</v>
      </c>
    </row>
    <row r="468" spans="1:6" x14ac:dyDescent="0.35">
      <c r="A468" s="4" t="s">
        <v>490</v>
      </c>
      <c r="B468" s="4" t="s">
        <v>5</v>
      </c>
      <c r="C468" s="5">
        <v>10</v>
      </c>
      <c r="D468" s="6">
        <f>IFERROR(VLOOKUP(TRIM(B468), GiaCuoc_Master!$A$2:$C$7, 3, FALSE), "Lỗi mã khu vực")</f>
        <v>35000</v>
      </c>
      <c r="E468" s="5">
        <v>27</v>
      </c>
      <c r="F468" s="4" t="s">
        <v>21</v>
      </c>
    </row>
    <row r="469" spans="1:6" x14ac:dyDescent="0.35">
      <c r="A469" s="1" t="s">
        <v>491</v>
      </c>
      <c r="B469" s="1" t="s">
        <v>3</v>
      </c>
      <c r="C469" s="7">
        <v>3</v>
      </c>
      <c r="D469" s="3">
        <f>IFERROR(VLOOKUP(TRIM(B469), GiaCuoc_Master!$A$2:$C$7, 3, FALSE), "Lỗi mã khu vực")</f>
        <v>22000</v>
      </c>
      <c r="E469" s="7">
        <v>56</v>
      </c>
      <c r="F469" s="1" t="s">
        <v>21</v>
      </c>
    </row>
    <row r="470" spans="1:6" x14ac:dyDescent="0.35">
      <c r="A470" s="4" t="s">
        <v>492</v>
      </c>
      <c r="B470" s="4" t="s">
        <v>5</v>
      </c>
      <c r="C470" s="5">
        <v>10</v>
      </c>
      <c r="D470" s="6">
        <f>IFERROR(VLOOKUP(TRIM(B470), GiaCuoc_Master!$A$2:$C$7, 3, FALSE), "Lỗi mã khu vực")</f>
        <v>35000</v>
      </c>
      <c r="E470" s="5">
        <v>51</v>
      </c>
      <c r="F470" s="4" t="s">
        <v>21</v>
      </c>
    </row>
    <row r="471" spans="1:6" x14ac:dyDescent="0.35">
      <c r="A471" s="1" t="s">
        <v>493</v>
      </c>
      <c r="B471" s="1" t="s">
        <v>3</v>
      </c>
      <c r="C471" s="7">
        <v>7.5</v>
      </c>
      <c r="D471" s="3">
        <f>IFERROR(VLOOKUP(TRIM(B471), GiaCuoc_Master!$A$2:$C$7, 3, FALSE), "Lỗi mã khu vực")</f>
        <v>22000</v>
      </c>
      <c r="E471" s="7">
        <v>51</v>
      </c>
      <c r="F471" s="1" t="s">
        <v>21</v>
      </c>
    </row>
    <row r="472" spans="1:6" x14ac:dyDescent="0.35">
      <c r="A472" s="4" t="s">
        <v>494</v>
      </c>
      <c r="B472" s="4" t="s">
        <v>11</v>
      </c>
      <c r="C472" s="5">
        <v>2</v>
      </c>
      <c r="D472" s="6">
        <f>IFERROR(VLOOKUP(TRIM(B472), GiaCuoc_Master!$A$2:$C$7, 3, FALSE), "Lỗi mã khu vực")</f>
        <v>55000</v>
      </c>
      <c r="E472" s="5">
        <v>54</v>
      </c>
      <c r="F472" s="4" t="s">
        <v>21</v>
      </c>
    </row>
    <row r="473" spans="1:6" x14ac:dyDescent="0.35">
      <c r="A473" s="1" t="s">
        <v>495</v>
      </c>
      <c r="B473" s="1" t="s">
        <v>7</v>
      </c>
      <c r="C473" s="7">
        <v>1.5</v>
      </c>
      <c r="D473" s="3">
        <f>IFERROR(VLOOKUP(TRIM(B473), GiaCuoc_Master!$A$2:$C$7, 3, FALSE), "Lỗi mã khu vực")</f>
        <v>25000</v>
      </c>
      <c r="E473" s="7">
        <v>101</v>
      </c>
      <c r="F473" s="1" t="s">
        <v>24</v>
      </c>
    </row>
    <row r="474" spans="1:6" x14ac:dyDescent="0.35">
      <c r="A474" s="4" t="s">
        <v>496</v>
      </c>
      <c r="B474" s="4" t="s">
        <v>3</v>
      </c>
      <c r="C474" s="5">
        <v>2.5</v>
      </c>
      <c r="D474" s="6">
        <f>IFERROR(VLOOKUP(TRIM(B474), GiaCuoc_Master!$A$2:$C$7, 3, FALSE), "Lỗi mã khu vực")</f>
        <v>22000</v>
      </c>
      <c r="E474" s="5">
        <v>43</v>
      </c>
      <c r="F474" s="4" t="s">
        <v>21</v>
      </c>
    </row>
    <row r="475" spans="1:6" x14ac:dyDescent="0.35">
      <c r="A475" s="1" t="s">
        <v>497</v>
      </c>
      <c r="B475" s="1" t="s">
        <v>5</v>
      </c>
      <c r="C475" s="7">
        <v>7.5</v>
      </c>
      <c r="D475" s="3">
        <f>IFERROR(VLOOKUP(TRIM(B475), GiaCuoc_Master!$A$2:$C$7, 3, FALSE), "Lỗi mã khu vực")</f>
        <v>35000</v>
      </c>
      <c r="E475" s="7">
        <v>57</v>
      </c>
      <c r="F475" s="1" t="s">
        <v>21</v>
      </c>
    </row>
    <row r="476" spans="1:6" x14ac:dyDescent="0.35">
      <c r="A476" s="4" t="s">
        <v>498</v>
      </c>
      <c r="B476" s="4" t="s">
        <v>5</v>
      </c>
      <c r="C476" s="5">
        <v>1</v>
      </c>
      <c r="D476" s="6">
        <f>IFERROR(VLOOKUP(TRIM(B476), GiaCuoc_Master!$A$2:$C$7, 3, FALSE), "Lỗi mã khu vực")</f>
        <v>35000</v>
      </c>
      <c r="E476" s="5">
        <v>109</v>
      </c>
      <c r="F476" s="4" t="s">
        <v>24</v>
      </c>
    </row>
    <row r="477" spans="1:6" x14ac:dyDescent="0.35">
      <c r="A477" s="1" t="s">
        <v>499</v>
      </c>
      <c r="B477" s="1" t="s">
        <v>3</v>
      </c>
      <c r="C477" s="7">
        <v>1.5</v>
      </c>
      <c r="D477" s="3">
        <f>IFERROR(VLOOKUP(TRIM(B477), GiaCuoc_Master!$A$2:$C$7, 3, FALSE), "Lỗi mã khu vực")</f>
        <v>22000</v>
      </c>
      <c r="E477" s="7">
        <v>26</v>
      </c>
      <c r="F477" s="1" t="s">
        <v>21</v>
      </c>
    </row>
    <row r="478" spans="1:6" x14ac:dyDescent="0.35">
      <c r="A478" s="4" t="s">
        <v>500</v>
      </c>
      <c r="B478" s="4" t="s">
        <v>7</v>
      </c>
      <c r="C478" s="5">
        <v>2</v>
      </c>
      <c r="D478" s="6">
        <f>IFERROR(VLOOKUP(TRIM(B478), GiaCuoc_Master!$A$2:$C$7, 3, FALSE), "Lỗi mã khu vực")</f>
        <v>25000</v>
      </c>
      <c r="E478" s="5">
        <v>100</v>
      </c>
      <c r="F478" s="4" t="s">
        <v>24</v>
      </c>
    </row>
    <row r="479" spans="1:6" x14ac:dyDescent="0.35">
      <c r="A479" s="1" t="s">
        <v>501</v>
      </c>
      <c r="B479" s="1" t="s">
        <v>7</v>
      </c>
      <c r="C479" s="7">
        <v>0.5</v>
      </c>
      <c r="D479" s="3">
        <f>IFERROR(VLOOKUP(TRIM(B479), GiaCuoc_Master!$A$2:$C$7, 3, FALSE), "Lỗi mã khu vực")</f>
        <v>25000</v>
      </c>
      <c r="E479" s="7">
        <v>47</v>
      </c>
      <c r="F479" s="1" t="s">
        <v>21</v>
      </c>
    </row>
    <row r="480" spans="1:6" x14ac:dyDescent="0.35">
      <c r="A480" s="4" t="s">
        <v>502</v>
      </c>
      <c r="B480" s="4" t="s">
        <v>7</v>
      </c>
      <c r="C480" s="5">
        <v>0.5</v>
      </c>
      <c r="D480" s="6">
        <f>IFERROR(VLOOKUP(TRIM(B480), GiaCuoc_Master!$A$2:$C$7, 3, FALSE), "Lỗi mã khu vực")</f>
        <v>25000</v>
      </c>
      <c r="E480" s="5">
        <v>41</v>
      </c>
      <c r="F480" s="4" t="s">
        <v>21</v>
      </c>
    </row>
    <row r="481" spans="1:6" x14ac:dyDescent="0.35">
      <c r="A481" s="1" t="s">
        <v>503</v>
      </c>
      <c r="B481" s="1" t="s">
        <v>13</v>
      </c>
      <c r="C481" s="7">
        <v>4</v>
      </c>
      <c r="D481" s="3">
        <f>IFERROR(VLOOKUP(TRIM(B481), GiaCuoc_Master!$A$2:$C$7, 3, FALSE), "Lỗi mã khu vực")</f>
        <v>75000</v>
      </c>
      <c r="E481" s="7">
        <v>92</v>
      </c>
      <c r="F481" s="1" t="s">
        <v>24</v>
      </c>
    </row>
    <row r="482" spans="1:6" x14ac:dyDescent="0.35">
      <c r="A482" s="4" t="s">
        <v>504</v>
      </c>
      <c r="B482" s="4" t="s">
        <v>3</v>
      </c>
      <c r="C482" s="5">
        <v>1</v>
      </c>
      <c r="D482" s="6">
        <f>IFERROR(VLOOKUP(TRIM(B482), GiaCuoc_Master!$A$2:$C$7, 3, FALSE), "Lỗi mã khu vực")</f>
        <v>22000</v>
      </c>
      <c r="E482" s="5">
        <v>85</v>
      </c>
      <c r="F482" s="4" t="s">
        <v>21</v>
      </c>
    </row>
    <row r="483" spans="1:6" x14ac:dyDescent="0.35">
      <c r="A483" s="1" t="s">
        <v>505</v>
      </c>
      <c r="B483" s="1" t="s">
        <v>9</v>
      </c>
      <c r="C483" s="7">
        <v>3</v>
      </c>
      <c r="D483" s="3">
        <f>IFERROR(VLOOKUP(TRIM(B483), GiaCuoc_Master!$A$2:$C$7, 3, FALSE), "Lỗi mã khu vực")</f>
        <v>40000</v>
      </c>
      <c r="E483" s="7">
        <v>90</v>
      </c>
      <c r="F483" s="1" t="s">
        <v>21</v>
      </c>
    </row>
    <row r="484" spans="1:6" x14ac:dyDescent="0.35">
      <c r="A484" s="4" t="s">
        <v>506</v>
      </c>
      <c r="B484" s="4" t="s">
        <v>11</v>
      </c>
      <c r="C484" s="5">
        <v>1</v>
      </c>
      <c r="D484" s="6">
        <f>IFERROR(VLOOKUP(TRIM(B484), GiaCuoc_Master!$A$2:$C$7, 3, FALSE), "Lỗi mã khu vực")</f>
        <v>55000</v>
      </c>
      <c r="E484" s="5">
        <v>82</v>
      </c>
      <c r="F484" s="4" t="s">
        <v>21</v>
      </c>
    </row>
    <row r="485" spans="1:6" x14ac:dyDescent="0.35">
      <c r="A485" s="1" t="s">
        <v>507</v>
      </c>
      <c r="B485" s="1" t="s">
        <v>11</v>
      </c>
      <c r="C485" s="7">
        <v>2</v>
      </c>
      <c r="D485" s="3">
        <f>IFERROR(VLOOKUP(TRIM(B485), GiaCuoc_Master!$A$2:$C$7, 3, FALSE), "Lỗi mã khu vực")</f>
        <v>55000</v>
      </c>
      <c r="E485" s="7">
        <v>103</v>
      </c>
      <c r="F485" s="1" t="s">
        <v>24</v>
      </c>
    </row>
    <row r="486" spans="1:6" x14ac:dyDescent="0.35">
      <c r="A486" s="4" t="s">
        <v>508</v>
      </c>
      <c r="B486" s="4" t="s">
        <v>3</v>
      </c>
      <c r="C486" s="5">
        <v>7.5</v>
      </c>
      <c r="D486" s="6">
        <f>IFERROR(VLOOKUP(TRIM(B486), GiaCuoc_Master!$A$2:$C$7, 3, FALSE), "Lỗi mã khu vực")</f>
        <v>22000</v>
      </c>
      <c r="E486" s="5">
        <v>63</v>
      </c>
      <c r="F486" s="4" t="s">
        <v>21</v>
      </c>
    </row>
    <row r="487" spans="1:6" x14ac:dyDescent="0.35">
      <c r="A487" s="1" t="s">
        <v>509</v>
      </c>
      <c r="B487" s="1" t="s">
        <v>9</v>
      </c>
      <c r="C487" s="7">
        <v>0.5</v>
      </c>
      <c r="D487" s="3">
        <f>IFERROR(VLOOKUP(TRIM(B487), GiaCuoc_Master!$A$2:$C$7, 3, FALSE), "Lỗi mã khu vực")</f>
        <v>40000</v>
      </c>
      <c r="E487" s="7">
        <v>32</v>
      </c>
      <c r="F487" s="1" t="s">
        <v>21</v>
      </c>
    </row>
    <row r="488" spans="1:6" x14ac:dyDescent="0.35">
      <c r="A488" s="4" t="s">
        <v>510</v>
      </c>
      <c r="B488" s="4" t="s">
        <v>9</v>
      </c>
      <c r="C488" s="5">
        <v>4</v>
      </c>
      <c r="D488" s="6">
        <f>IFERROR(VLOOKUP(TRIM(B488), GiaCuoc_Master!$A$2:$C$7, 3, FALSE), "Lỗi mã khu vực")</f>
        <v>40000</v>
      </c>
      <c r="E488" s="5">
        <v>79</v>
      </c>
      <c r="F488" s="4" t="s">
        <v>21</v>
      </c>
    </row>
    <row r="489" spans="1:6" x14ac:dyDescent="0.35">
      <c r="A489" s="1" t="s">
        <v>511</v>
      </c>
      <c r="B489" s="1" t="s">
        <v>13</v>
      </c>
      <c r="C489" s="7">
        <v>1</v>
      </c>
      <c r="D489" s="3">
        <f>IFERROR(VLOOKUP(TRIM(B489), GiaCuoc_Master!$A$2:$C$7, 3, FALSE), "Lỗi mã khu vực")</f>
        <v>75000</v>
      </c>
      <c r="E489" s="7">
        <v>87</v>
      </c>
      <c r="F489" s="1" t="s">
        <v>21</v>
      </c>
    </row>
    <row r="490" spans="1:6" x14ac:dyDescent="0.35">
      <c r="A490" s="4" t="s">
        <v>512</v>
      </c>
      <c r="B490" s="4" t="s">
        <v>13</v>
      </c>
      <c r="C490" s="5">
        <v>5</v>
      </c>
      <c r="D490" s="6">
        <f>IFERROR(VLOOKUP(TRIM(B490), GiaCuoc_Master!$A$2:$C$7, 3, FALSE), "Lỗi mã khu vực")</f>
        <v>75000</v>
      </c>
      <c r="E490" s="5">
        <v>34</v>
      </c>
      <c r="F490" s="4" t="s">
        <v>21</v>
      </c>
    </row>
    <row r="491" spans="1:6" x14ac:dyDescent="0.35">
      <c r="A491" s="1" t="s">
        <v>513</v>
      </c>
      <c r="B491" s="1" t="s">
        <v>3</v>
      </c>
      <c r="C491" s="7">
        <v>3</v>
      </c>
      <c r="D491" s="3">
        <f>IFERROR(VLOOKUP(TRIM(B491), GiaCuoc_Master!$A$2:$C$7, 3, FALSE), "Lỗi mã khu vực")</f>
        <v>22000</v>
      </c>
      <c r="E491" s="7">
        <v>102</v>
      </c>
      <c r="F491" s="1" t="s">
        <v>24</v>
      </c>
    </row>
    <row r="492" spans="1:6" x14ac:dyDescent="0.35">
      <c r="A492" s="4" t="s">
        <v>514</v>
      </c>
      <c r="B492" s="4" t="s">
        <v>5</v>
      </c>
      <c r="C492" s="5">
        <v>1</v>
      </c>
      <c r="D492" s="6">
        <f>IFERROR(VLOOKUP(TRIM(B492), GiaCuoc_Master!$A$2:$C$7, 3, FALSE), "Lỗi mã khu vực")</f>
        <v>35000</v>
      </c>
      <c r="E492" s="5">
        <v>41</v>
      </c>
      <c r="F492" s="4" t="s">
        <v>21</v>
      </c>
    </row>
    <row r="493" spans="1:6" x14ac:dyDescent="0.35">
      <c r="A493" s="1" t="s">
        <v>515</v>
      </c>
      <c r="B493" s="1" t="s">
        <v>7</v>
      </c>
      <c r="C493" s="7">
        <v>10</v>
      </c>
      <c r="D493" s="3">
        <f>IFERROR(VLOOKUP(TRIM(B493), GiaCuoc_Master!$A$2:$C$7, 3, FALSE), "Lỗi mã khu vực")</f>
        <v>25000</v>
      </c>
      <c r="E493" s="7">
        <v>106</v>
      </c>
      <c r="F493" s="1" t="s">
        <v>24</v>
      </c>
    </row>
    <row r="494" spans="1:6" x14ac:dyDescent="0.35">
      <c r="A494" s="4" t="s">
        <v>516</v>
      </c>
      <c r="B494" s="4" t="s">
        <v>11</v>
      </c>
      <c r="C494" s="5">
        <v>7.5</v>
      </c>
      <c r="D494" s="6">
        <f>IFERROR(VLOOKUP(TRIM(B494), GiaCuoc_Master!$A$2:$C$7, 3, FALSE), "Lỗi mã khu vực")</f>
        <v>55000</v>
      </c>
      <c r="E494" s="5">
        <v>116</v>
      </c>
      <c r="F494" s="4" t="s">
        <v>24</v>
      </c>
    </row>
    <row r="495" spans="1:6" x14ac:dyDescent="0.35">
      <c r="A495" s="1" t="s">
        <v>517</v>
      </c>
      <c r="B495" s="1" t="s">
        <v>7</v>
      </c>
      <c r="C495" s="7">
        <v>4</v>
      </c>
      <c r="D495" s="3">
        <f>IFERROR(VLOOKUP(TRIM(B495), GiaCuoc_Master!$A$2:$C$7, 3, FALSE), "Lỗi mã khu vực")</f>
        <v>25000</v>
      </c>
      <c r="E495" s="7">
        <v>101</v>
      </c>
      <c r="F495" s="1" t="s">
        <v>24</v>
      </c>
    </row>
    <row r="496" spans="1:6" x14ac:dyDescent="0.35">
      <c r="A496" s="4" t="s">
        <v>518</v>
      </c>
      <c r="B496" s="4" t="s">
        <v>11</v>
      </c>
      <c r="C496" s="5">
        <v>2.5</v>
      </c>
      <c r="D496" s="6">
        <f>IFERROR(VLOOKUP(TRIM(B496), GiaCuoc_Master!$A$2:$C$7, 3, FALSE), "Lỗi mã khu vực")</f>
        <v>55000</v>
      </c>
      <c r="E496" s="5">
        <v>83</v>
      </c>
      <c r="F496" s="4" t="s">
        <v>21</v>
      </c>
    </row>
    <row r="497" spans="1:6" x14ac:dyDescent="0.35">
      <c r="A497" s="1" t="s">
        <v>519</v>
      </c>
      <c r="B497" s="1" t="s">
        <v>11</v>
      </c>
      <c r="C497" s="7">
        <v>10</v>
      </c>
      <c r="D497" s="3">
        <f>IFERROR(VLOOKUP(TRIM(B497), GiaCuoc_Master!$A$2:$C$7, 3, FALSE), "Lỗi mã khu vực")</f>
        <v>55000</v>
      </c>
      <c r="E497" s="7">
        <v>80</v>
      </c>
      <c r="F497" s="1" t="s">
        <v>21</v>
      </c>
    </row>
    <row r="498" spans="1:6" x14ac:dyDescent="0.35">
      <c r="A498" s="4" t="s">
        <v>520</v>
      </c>
      <c r="B498" s="4" t="s">
        <v>3</v>
      </c>
      <c r="C498" s="5">
        <v>1</v>
      </c>
      <c r="D498" s="6">
        <f>IFERROR(VLOOKUP(TRIM(B498), GiaCuoc_Master!$A$2:$C$7, 3, FALSE), "Lỗi mã khu vực")</f>
        <v>22000</v>
      </c>
      <c r="E498" s="5">
        <v>108</v>
      </c>
      <c r="F498" s="4" t="s">
        <v>24</v>
      </c>
    </row>
    <row r="499" spans="1:6" x14ac:dyDescent="0.35">
      <c r="A499" s="1" t="s">
        <v>521</v>
      </c>
      <c r="B499" s="1" t="s">
        <v>13</v>
      </c>
      <c r="C499" s="7">
        <v>7.5</v>
      </c>
      <c r="D499" s="3">
        <f>IFERROR(VLOOKUP(TRIM(B499), GiaCuoc_Master!$A$2:$C$7, 3, FALSE), "Lỗi mã khu vực")</f>
        <v>75000</v>
      </c>
      <c r="E499" s="7">
        <v>117</v>
      </c>
      <c r="F499" s="1" t="s">
        <v>24</v>
      </c>
    </row>
    <row r="500" spans="1:6" x14ac:dyDescent="0.35">
      <c r="A500" s="4" t="s">
        <v>522</v>
      </c>
      <c r="B500" s="4" t="s">
        <v>5</v>
      </c>
      <c r="C500" s="5">
        <v>4</v>
      </c>
      <c r="D500" s="6">
        <f>IFERROR(VLOOKUP(TRIM(B500), GiaCuoc_Master!$A$2:$C$7, 3, FALSE), "Lỗi mã khu vực")</f>
        <v>35000</v>
      </c>
      <c r="E500" s="5">
        <v>82</v>
      </c>
      <c r="F500" s="4" t="s">
        <v>21</v>
      </c>
    </row>
    <row r="501" spans="1:6" x14ac:dyDescent="0.35">
      <c r="A501" s="1" t="s">
        <v>523</v>
      </c>
      <c r="B501" s="1" t="s">
        <v>5</v>
      </c>
      <c r="C501" s="7">
        <v>4</v>
      </c>
      <c r="D501" s="3">
        <f>IFERROR(VLOOKUP(TRIM(B501), GiaCuoc_Master!$A$2:$C$7, 3, FALSE), "Lỗi mã khu vực")</f>
        <v>35000</v>
      </c>
      <c r="E501" s="7">
        <v>68</v>
      </c>
      <c r="F501" s="1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tabSelected="1" workbookViewId="0">
      <selection activeCell="C4" sqref="C4"/>
    </sheetView>
  </sheetViews>
  <sheetFormatPr defaultRowHeight="14.5" x14ac:dyDescent="0.35"/>
  <cols>
    <col min="1" max="1" width="14" customWidth="1"/>
    <col min="2" max="2" width="26" customWidth="1"/>
    <col min="3" max="5" width="14" customWidth="1"/>
  </cols>
  <sheetData>
    <row r="1" spans="1:5" ht="18.5" x14ac:dyDescent="0.45">
      <c r="A1" s="12" t="s">
        <v>524</v>
      </c>
    </row>
    <row r="3" spans="1:5" x14ac:dyDescent="0.35">
      <c r="A3" s="13" t="s">
        <v>0</v>
      </c>
      <c r="B3" s="13" t="s">
        <v>1</v>
      </c>
      <c r="C3" s="13" t="s">
        <v>525</v>
      </c>
      <c r="D3" s="13" t="s">
        <v>526</v>
      </c>
      <c r="E3" s="13" t="s">
        <v>527</v>
      </c>
    </row>
    <row r="4" spans="1:5" x14ac:dyDescent="0.35">
      <c r="A4" s="1" t="s">
        <v>3</v>
      </c>
      <c r="B4" s="8" t="s">
        <v>4</v>
      </c>
      <c r="C4" s="9">
        <f>COUNTIF(NhatKy_GiaoHang!$B$2:$B$501, "MB01")</f>
        <v>81</v>
      </c>
      <c r="D4" s="9">
        <f>COUNTIFS(NhatKy_GiaoHang!$B$2:$B$501, "MB01", NhatKy_GiaoHang!$F$2:$F$501, "Trễ")</f>
        <v>17</v>
      </c>
      <c r="E4" s="10">
        <f t="shared" ref="E4:E9" si="0">D4/C4</f>
        <v>0.20987654320987653</v>
      </c>
    </row>
    <row r="5" spans="1:5" x14ac:dyDescent="0.35">
      <c r="A5" s="1" t="s">
        <v>5</v>
      </c>
      <c r="B5" s="8" t="s">
        <v>6</v>
      </c>
      <c r="C5" s="9">
        <f>COUNTIF(NhatKy_GiaoHang!$B$2:$B$501, "MB02")</f>
        <v>85</v>
      </c>
      <c r="D5" s="9">
        <f>COUNTIFS(NhatKy_GiaoHang!$B$2:$B$501, "MB02", NhatKy_GiaoHang!$F$2:$F$501, "Trễ")</f>
        <v>28</v>
      </c>
      <c r="E5" s="10">
        <f t="shared" si="0"/>
        <v>0.32941176470588235</v>
      </c>
    </row>
    <row r="6" spans="1:5" x14ac:dyDescent="0.35">
      <c r="A6" s="1" t="s">
        <v>7</v>
      </c>
      <c r="B6" s="8" t="s">
        <v>8</v>
      </c>
      <c r="C6" s="9">
        <f>COUNTIF(NhatKy_GiaoHang!$B$2:$B$501, "MN01")</f>
        <v>80</v>
      </c>
      <c r="D6" s="9">
        <f>COUNTIFS(NhatKy_GiaoHang!$B$2:$B$501, "MN01", NhatKy_GiaoHang!$F$2:$F$501, "Trễ")</f>
        <v>27</v>
      </c>
      <c r="E6" s="10">
        <f t="shared" si="0"/>
        <v>0.33750000000000002</v>
      </c>
    </row>
    <row r="7" spans="1:5" x14ac:dyDescent="0.35">
      <c r="A7" s="1" t="s">
        <v>9</v>
      </c>
      <c r="B7" s="8" t="s">
        <v>10</v>
      </c>
      <c r="C7" s="9">
        <f>COUNTIF(NhatKy_GiaoHang!$B$2:$B$501, "MN02")</f>
        <v>83</v>
      </c>
      <c r="D7" s="9">
        <f>COUNTIFS(NhatKy_GiaoHang!$B$2:$B$501, "MN02", NhatKy_GiaoHang!$F$2:$F$501, "Trễ")</f>
        <v>28</v>
      </c>
      <c r="E7" s="10">
        <f t="shared" si="0"/>
        <v>0.33734939759036142</v>
      </c>
    </row>
    <row r="8" spans="1:5" x14ac:dyDescent="0.35">
      <c r="A8" s="1" t="s">
        <v>11</v>
      </c>
      <c r="B8" s="8" t="s">
        <v>12</v>
      </c>
      <c r="C8" s="9">
        <f>COUNTIF(NhatKy_GiaoHang!$B$2:$B$501, "LC01")</f>
        <v>80</v>
      </c>
      <c r="D8" s="9">
        <f>COUNTIFS(NhatKy_GiaoHang!$B$2:$B$501, "LC01", NhatKy_GiaoHang!$F$2:$F$501, "Trễ")</f>
        <v>25</v>
      </c>
      <c r="E8" s="10">
        <f t="shared" si="0"/>
        <v>0.3125</v>
      </c>
    </row>
    <row r="9" spans="1:5" x14ac:dyDescent="0.35">
      <c r="A9" s="1" t="s">
        <v>13</v>
      </c>
      <c r="B9" s="8" t="s">
        <v>14</v>
      </c>
      <c r="C9" s="9">
        <f>COUNTIF(NhatKy_GiaoHang!$B$2:$B$501, "LB01")</f>
        <v>89</v>
      </c>
      <c r="D9" s="9">
        <f>COUNTIFS(NhatKy_GiaoHang!$B$2:$B$501, "LB01", NhatKy_GiaoHang!$F$2:$F$501, "Trễ")</f>
        <v>28</v>
      </c>
      <c r="E9" s="10">
        <f t="shared" si="0"/>
        <v>0.3146067415730337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GiaCuoc_Master</vt:lpstr>
      <vt:lpstr>NhatKy_GiaoHang</vt:lpstr>
      <vt:lpstr>BaoCao_KPI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Đào Tuấn Đạt</cp:lastModifiedBy>
  <dcterms:created xsi:type="dcterms:W3CDTF">2026-10-26T12:52:08Z</dcterms:created>
  <dcterms:modified xsi:type="dcterms:W3CDTF">2026-10-26T13:05:14Z</dcterms:modified>
</cp:coreProperties>
</file>